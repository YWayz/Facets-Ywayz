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-120" yWindow="-120" windowWidth="20730" windowHeight="11160"/>
  </bookViews>
  <sheets>
    <sheet name="Test Execution Summary" sheetId="7" r:id="rId1"/>
    <sheet name="Main test cases" sheetId="2" r:id="rId2"/>
    <sheet name="ReUsable test cases" sheetId="4" r:id="rId3"/>
    <sheet name="Validation table" sheetId="3" r:id="rId4"/>
    <sheet name="Test Data" sheetId="5" r:id="rId5"/>
  </sheets>
  <externalReferences>
    <externalReference r:id="rId6"/>
  </externalReferenc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2" i="2" l="1" a="1"/>
  <c r="L12" i="2" s="1"/>
  <c r="L10" i="2" a="1"/>
  <c r="L10" i="2" s="1"/>
  <c r="L9" i="2" a="1"/>
  <c r="L9" i="2" s="1"/>
  <c r="L8" i="2" a="1"/>
  <c r="L8" i="2" s="1"/>
  <c r="I12" i="2" a="1"/>
  <c r="I12" i="2" s="1"/>
  <c r="I10" i="2" a="1"/>
  <c r="I10" i="2" s="1"/>
  <c r="I9" i="2" a="1"/>
  <c r="I9" i="2" s="1"/>
  <c r="H12" i="2" a="1"/>
  <c r="H12" i="2" s="1"/>
  <c r="H10" i="2" a="1"/>
  <c r="H10" i="2" s="1"/>
  <c r="H9" i="2" a="1"/>
  <c r="H9" i="2" s="1"/>
  <c r="H8" i="2" a="1"/>
  <c r="H8" i="2" s="1"/>
  <c r="I8" i="2" a="1"/>
  <c r="I8" i="2" s="1"/>
  <c r="E8" i="7" a="1"/>
  <c r="E8" i="7" s="1"/>
  <c r="F8" i="7" s="1"/>
  <c r="H13" i="2" l="1"/>
  <c r="K11" i="4" l="1" a="1"/>
  <c r="K11" i="4" s="1"/>
  <c r="H11" i="4" a="1"/>
  <c r="H11" i="4" s="1"/>
  <c r="K9" i="4" a="1"/>
  <c r="K9" i="4" s="1"/>
  <c r="K8" i="4" a="1"/>
  <c r="K8" i="4" s="1"/>
  <c r="I13" i="2" l="1"/>
  <c r="H12" i="4"/>
  <c r="L13" i="2"/>
</calcChain>
</file>

<file path=xl/sharedStrings.xml><?xml version="1.0" encoding="utf-8"?>
<sst xmlns="http://schemas.openxmlformats.org/spreadsheetml/2006/main" count="403" uniqueCount="165">
  <si>
    <t xml:space="preserve">Document References  </t>
  </si>
  <si>
    <t>Test Objective</t>
  </si>
  <si>
    <t>Author</t>
  </si>
  <si>
    <t>Traceability Metrix</t>
  </si>
  <si>
    <t>Test scenario</t>
  </si>
  <si>
    <t>Test case ID</t>
  </si>
  <si>
    <t>Login Functionality</t>
  </si>
  <si>
    <t>Test Cases Summary(1st round)</t>
  </si>
  <si>
    <t>Test Cases Summary(2nd round)</t>
  </si>
  <si>
    <t>Date Created</t>
  </si>
  <si>
    <t>Pass</t>
  </si>
  <si>
    <t>Not Executed</t>
  </si>
  <si>
    <t>Last Updated on</t>
  </si>
  <si>
    <t>Fail</t>
  </si>
  <si>
    <t>Last Updated by</t>
  </si>
  <si>
    <t>On Hold</t>
  </si>
  <si>
    <t>Not Applicable</t>
  </si>
  <si>
    <t>Total</t>
  </si>
  <si>
    <t>TC_ID</t>
  </si>
  <si>
    <t>Senario Description</t>
  </si>
  <si>
    <t xml:space="preserve"> Pre-requisite</t>
  </si>
  <si>
    <t>Steps</t>
  </si>
  <si>
    <t>Test Data</t>
  </si>
  <si>
    <t>Expected Result</t>
  </si>
  <si>
    <t>Test Result (1st round)</t>
  </si>
  <si>
    <t>Test Result (2nd round)</t>
  </si>
  <si>
    <t>Defect ID</t>
  </si>
  <si>
    <t>Positive / Negative / UI</t>
  </si>
  <si>
    <t>Severity</t>
  </si>
  <si>
    <t>Positive</t>
  </si>
  <si>
    <t>High</t>
  </si>
  <si>
    <t>UI</t>
  </si>
  <si>
    <t>Low</t>
  </si>
  <si>
    <t>Negative</t>
  </si>
  <si>
    <t>Medium</t>
  </si>
  <si>
    <t xml:space="preserve"> Validation table No 1 </t>
  </si>
  <si>
    <t>Test case ID &lt;ID 1&gt; Validation for Subscription Type</t>
  </si>
  <si>
    <t>ID</t>
  </si>
  <si>
    <t>Variable</t>
  </si>
  <si>
    <t>Test results</t>
  </si>
  <si>
    <t>Test case ID &lt;ID 2&gt; Validation for Subscription Type</t>
  </si>
  <si>
    <t>Test case ID &lt;ID 3&gt; Validation for Subscription Type</t>
  </si>
  <si>
    <t>Smoke test cases?(Y/N)</t>
  </si>
  <si>
    <t>Regression Priority Level</t>
  </si>
  <si>
    <t>Yes</t>
  </si>
  <si>
    <t>#</t>
  </si>
  <si>
    <t>Description</t>
  </si>
  <si>
    <t>Test Data 1</t>
  </si>
  <si>
    <t>Test Data 2</t>
  </si>
  <si>
    <t>Test Data 3</t>
  </si>
  <si>
    <t>ReUse_001</t>
  </si>
  <si>
    <t>ReUse_002</t>
  </si>
  <si>
    <t>ReUse_003</t>
  </si>
  <si>
    <t>ReUse_004</t>
  </si>
  <si>
    <t>ReUse_005</t>
  </si>
  <si>
    <t>ReUse_006</t>
  </si>
  <si>
    <t>ReUse_007</t>
  </si>
  <si>
    <t>ReUse_008</t>
  </si>
  <si>
    <t>ReUse_009</t>
  </si>
  <si>
    <t>ReUse_010</t>
  </si>
  <si>
    <t>ReUse_011</t>
  </si>
  <si>
    <t>ReUse_012</t>
  </si>
  <si>
    <t>Test Result (Test env.)</t>
  </si>
  <si>
    <t>Test Result (Staging env.)</t>
  </si>
  <si>
    <t>Test Cases Summary(Test env.)</t>
  </si>
  <si>
    <t>Test Cases Summary(Staging env.)</t>
  </si>
  <si>
    <t>Test Summery</t>
  </si>
  <si>
    <t>Executed TC #</t>
  </si>
  <si>
    <t># of Defects</t>
  </si>
  <si>
    <t>Comment</t>
  </si>
  <si>
    <t>Executed</t>
  </si>
  <si>
    <t>Not Execued</t>
  </si>
  <si>
    <t>Status</t>
  </si>
  <si>
    <t>Story Point #</t>
  </si>
  <si>
    <t>Story Description</t>
  </si>
  <si>
    <t>Test Result (Smoke Test)</t>
  </si>
  <si>
    <t>Project Code/Name</t>
  </si>
  <si>
    <r>
      <rPr>
        <b/>
        <sz val="8"/>
        <color rgb="FFFF0000"/>
        <rFont val="Arial"/>
        <family val="2"/>
      </rPr>
      <t>**</t>
    </r>
    <r>
      <rPr>
        <b/>
        <sz val="8"/>
        <color rgb="FF000000"/>
        <rFont val="Arial"/>
        <family val="2"/>
      </rPr>
      <t xml:space="preserve"> Priority Level 1 consider for smoke test</t>
    </r>
  </si>
  <si>
    <t>Smoke test Status</t>
  </si>
  <si>
    <t>Function test Status</t>
  </si>
  <si>
    <t>Quality Assurance Test Cases (SQATC)</t>
  </si>
  <si>
    <t>CLIENT CONFIDENTIAL           Template ID:SQA-FRM-003       Copyright © 2018</t>
  </si>
  <si>
    <t>Environment - Test &amp; Staging</t>
  </si>
  <si>
    <t>Release #: &lt;&gt;</t>
  </si>
  <si>
    <t>Sachini</t>
  </si>
  <si>
    <t>?</t>
  </si>
  <si>
    <t>Tester: Sachini</t>
  </si>
  <si>
    <t>Verify the behaviour</t>
  </si>
  <si>
    <t>Facets</t>
  </si>
  <si>
    <t>1. User must be logging to the event creation screen</t>
  </si>
  <si>
    <t xml:space="preserve">Open the website 
</t>
  </si>
  <si>
    <t>User should be able to open the website &amp; It should be go to event section</t>
  </si>
  <si>
    <t>Select events section</t>
  </si>
  <si>
    <t>User should be able to select the events section</t>
  </si>
  <si>
    <t>Display all events information</t>
  </si>
  <si>
    <t>User should be able to view all event information in table view</t>
  </si>
  <si>
    <t>Click on the event registration setting</t>
  </si>
  <si>
    <t>User should be able to click on the event registration setting</t>
  </si>
  <si>
    <t>User should be able to view registration settings details</t>
  </si>
  <si>
    <t>Display registration settings details</t>
  </si>
  <si>
    <t>Click on the pass rate</t>
  </si>
  <si>
    <t>User should be able to click on the pass rate</t>
  </si>
  <si>
    <t>Switching on the "Chargeable" icon</t>
  </si>
  <si>
    <t>Find the pass category</t>
  </si>
  <si>
    <t>User should be able to find visitor pass type</t>
  </si>
  <si>
    <t>User should be able to view chargeable rate screen</t>
  </si>
  <si>
    <t xml:space="preserve">Set the early registration discount </t>
  </si>
  <si>
    <t xml:space="preserve">User should be able to set the early registration discount </t>
  </si>
  <si>
    <t xml:space="preserve">Set the online registration discount </t>
  </si>
  <si>
    <t xml:space="preserve">User should be able to set the online registration discount </t>
  </si>
  <si>
    <t>Set the date</t>
  </si>
  <si>
    <t>User should be able to set the date</t>
  </si>
  <si>
    <t>Click discard button</t>
  </si>
  <si>
    <t>User should be able to click discard button</t>
  </si>
  <si>
    <t>It should not be saved for the pass category</t>
  </si>
  <si>
    <t>Verify the error message</t>
  </si>
  <si>
    <t xml:space="preserve">The system must be thrown a message like "Pass rate should be greater than 0" </t>
  </si>
  <si>
    <t xml:space="preserve">The system must be thrown a message like "Early registration date should be before the registration start date" </t>
  </si>
  <si>
    <t xml:space="preserve">The system must be thrown a message like "Please select the standard rate" </t>
  </si>
  <si>
    <t xml:space="preserve">The system must be thrown a message like "Please enter the less than the standard rate" </t>
  </si>
  <si>
    <t>User should be able to enter the 0 discount rate</t>
  </si>
  <si>
    <t>US_7631 As a user who has access to set pass rate, I should be able to update pass rate for chargeable pass categories</t>
  </si>
  <si>
    <t>Update pass rate for chargeable pass categories</t>
  </si>
  <si>
    <t>Succesfully able to update pass rate for chargeable pass categories</t>
  </si>
  <si>
    <t>US_7631_001</t>
  </si>
  <si>
    <t>Change the standard rate</t>
  </si>
  <si>
    <t>User should be able to change the standard rate</t>
  </si>
  <si>
    <t>Change the discount criteria</t>
  </si>
  <si>
    <t>User should be able to change the discount criteria</t>
  </si>
  <si>
    <t>Change the early registration date</t>
  </si>
  <si>
    <t>User should be able to change the early registration date</t>
  </si>
  <si>
    <t>Change the discount rate</t>
  </si>
  <si>
    <t>User should be able to change the discount rate</t>
  </si>
  <si>
    <t>Click update button</t>
  </si>
  <si>
    <t>User should be able to click update button</t>
  </si>
  <si>
    <t xml:space="preserve">The system must be thrown a message like "Pass rate updated successfully" </t>
  </si>
  <si>
    <t>US_7631_002</t>
  </si>
  <si>
    <t>Unable to update pass rate for chargeable pass categories</t>
  </si>
  <si>
    <t>Unable to update pass rate for chargeable pass categories - Change existing registration records</t>
  </si>
  <si>
    <t xml:space="preserve">The system must be thrown a message like "Pass rate updated unsuccessfully" </t>
  </si>
  <si>
    <t>US_7631_003</t>
  </si>
  <si>
    <t>Succesfully able to update pass rate for chargeable pass categories - Enter the 0 discount rate</t>
  </si>
  <si>
    <t>US_7631_004</t>
  </si>
  <si>
    <t>Change the date</t>
  </si>
  <si>
    <t>User should be able to change the date</t>
  </si>
  <si>
    <t>US_7631_005</t>
  </si>
  <si>
    <t>Unable to update pass rate for chargeable pass categories- Enter less than 0 standard rate amount</t>
  </si>
  <si>
    <t>User should be able to change the greater than 0 standard rate</t>
  </si>
  <si>
    <t>Unable to update pass rate for chargeable pass categories- Enter early registration date on the registration start date</t>
  </si>
  <si>
    <t>Unable to update pass rate for chargeable pass categories- Enter early registration date after the registration start date</t>
  </si>
  <si>
    <t>Unable to update pass rate for chargeable pass categories- Not selected standard rate</t>
  </si>
  <si>
    <t>Unable to update pass rate for chargeable pass categories- Enter the equal to the standard rate</t>
  </si>
  <si>
    <t>Unable to update pass rate for chargeable pass categories-Enter the greater than the standard rate</t>
  </si>
  <si>
    <t xml:space="preserve">User should  be able to change the early registration date on the registration start date </t>
  </si>
  <si>
    <t xml:space="preserve">User should  be able to change the early registration date after the registration start date </t>
  </si>
  <si>
    <t>User should not be able to change the standard rate</t>
  </si>
  <si>
    <t>User should be able to change equal the standard rate</t>
  </si>
  <si>
    <t>User should be able to change greater than the standard rate</t>
  </si>
  <si>
    <t>US_7631_006</t>
  </si>
  <si>
    <t>US_7631_007</t>
  </si>
  <si>
    <t>US_7631_008</t>
  </si>
  <si>
    <t>US_7631_009</t>
  </si>
  <si>
    <t>US_7631_010</t>
  </si>
  <si>
    <t>&lt; US_7631 As a user who has access to set pass rate, I should be able to update pass rate for chargeable pass categories &gt;</t>
  </si>
  <si>
    <t>As a user who has access to set pass rate, I should be able to update pass rate for chargeable pass 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</si>
</sst>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yy"/>
  </numFmts>
  <fonts count="19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8"/>
      <color rgb="FF000000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b/>
      <sz val="8"/>
      <color rgb="FFFF0000"/>
      <name val="Arial"/>
      <family val="2"/>
    </font>
    <font>
      <b/>
      <sz val="11"/>
      <name val="Calibri"/>
      <family val="2"/>
    </font>
    <font>
      <sz val="8"/>
      <name val="Calibri"/>
      <family val="2"/>
    </font>
    <font>
      <sz val="8"/>
      <name val="Calibri"/>
      <family val="2"/>
    </font>
    <font>
      <sz val="11"/>
      <name val="Calibri"/>
      <family val="2"/>
      <scheme val="minor"/>
    </font>
    <font>
      <sz val="11"/>
      <color rgb="FF000000"/>
      <name val="Segoe U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808080"/>
        <bgColor rgb="FF808080"/>
      </patternFill>
    </fill>
    <fill>
      <patternFill patternType="solid">
        <fgColor rgb="FFD8D8D8"/>
        <bgColor rgb="FFD8D8D8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FF99"/>
        <bgColor rgb="FFFFFF99"/>
      </patternFill>
    </fill>
    <fill>
      <patternFill patternType="solid">
        <fgColor rgb="FFBFBFBF"/>
        <bgColor rgb="FFBFBFBF"/>
      </patternFill>
    </fill>
    <fill>
      <patternFill patternType="solid">
        <fgColor rgb="FF548DD4"/>
        <bgColor rgb="FF548DD4"/>
      </patternFill>
    </fill>
    <fill>
      <patternFill patternType="solid">
        <fgColor theme="0" tint="-0.499984740745262"/>
        <bgColor rgb="FFFFFFFF"/>
      </patternFill>
    </fill>
    <fill>
      <patternFill patternType="solid">
        <fgColor theme="3" tint="0.59999389629810485"/>
        <bgColor rgb="FF548DD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FFFFF"/>
      </patternFill>
    </fill>
  </fills>
  <borders count="2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11" fillId="0" borderId="0"/>
    <xf numFmtId="0" fontId="12" fillId="0" borderId="0" applyNumberFormat="0" applyFill="0" applyBorder="0" applyAlignment="0" applyProtection="0"/>
    <xf numFmtId="0" fontId="1" fillId="0" borderId="0"/>
  </cellStyleXfs>
  <cellXfs count="176">
    <xf numFmtId="0" fontId="0" fillId="0" borderId="0" xfId="0" applyFont="1" applyAlignment="1"/>
    <xf numFmtId="0" fontId="0" fillId="0" borderId="0" xfId="0" applyFont="1"/>
    <xf numFmtId="0" fontId="0" fillId="2" borderId="0" xfId="0" applyFont="1" applyFill="1" applyBorder="1"/>
    <xf numFmtId="0" fontId="6" fillId="0" borderId="0" xfId="0" applyFont="1" applyAlignment="1">
      <alignment horizontal="left" vertical="top" wrapText="1"/>
    </xf>
    <xf numFmtId="164" fontId="6" fillId="0" borderId="6" xfId="0" applyNumberFormat="1" applyFont="1" applyBorder="1" applyAlignment="1">
      <alignment horizontal="left" vertical="top" wrapText="1"/>
    </xf>
    <xf numFmtId="0" fontId="0" fillId="0" borderId="0" xfId="0" applyFont="1"/>
    <xf numFmtId="0" fontId="0" fillId="0" borderId="6" xfId="0" applyFont="1" applyBorder="1"/>
    <xf numFmtId="0" fontId="9" fillId="0" borderId="0" xfId="0" applyFont="1"/>
    <xf numFmtId="0" fontId="10" fillId="0" borderId="6" xfId="0" applyFont="1" applyBorder="1" applyAlignment="1">
      <alignment horizontal="left" vertical="top" wrapText="1"/>
    </xf>
    <xf numFmtId="0" fontId="6" fillId="0" borderId="6" xfId="0" applyFont="1" applyBorder="1" applyAlignment="1">
      <alignment wrapText="1"/>
    </xf>
    <xf numFmtId="0" fontId="6" fillId="0" borderId="0" xfId="0" applyFont="1" applyAlignment="1">
      <alignment wrapText="1"/>
    </xf>
    <xf numFmtId="0" fontId="10" fillId="2" borderId="6" xfId="0" applyFont="1" applyFill="1" applyBorder="1" applyAlignment="1">
      <alignment vertical="top" wrapText="1"/>
    </xf>
    <xf numFmtId="0" fontId="10" fillId="6" borderId="6" xfId="0" applyFont="1" applyFill="1" applyBorder="1" applyAlignment="1">
      <alignment horizontal="right" vertical="top" wrapText="1"/>
    </xf>
    <xf numFmtId="0" fontId="10" fillId="7" borderId="6" xfId="0" applyFont="1" applyFill="1" applyBorder="1" applyAlignment="1">
      <alignment horizontal="right" vertical="top" wrapText="1"/>
    </xf>
    <xf numFmtId="0" fontId="10" fillId="8" borderId="6" xfId="0" applyFont="1" applyFill="1" applyBorder="1" applyAlignment="1">
      <alignment horizontal="right" vertical="top" wrapText="1"/>
    </xf>
    <xf numFmtId="0" fontId="10" fillId="0" borderId="6" xfId="0" applyFont="1" applyBorder="1" applyAlignment="1">
      <alignment horizontal="right" vertical="top" wrapText="1"/>
    </xf>
    <xf numFmtId="0" fontId="10" fillId="0" borderId="6" xfId="0" applyFont="1" applyBorder="1" applyAlignment="1">
      <alignment vertical="top" wrapText="1"/>
    </xf>
    <xf numFmtId="0" fontId="10" fillId="9" borderId="6" xfId="0" applyFont="1" applyFill="1" applyBorder="1" applyAlignment="1">
      <alignment horizontal="right" vertical="top" wrapText="1"/>
    </xf>
    <xf numFmtId="0" fontId="10" fillId="2" borderId="6" xfId="0" applyFont="1" applyFill="1" applyBorder="1" applyAlignment="1">
      <alignment horizontal="right" vertical="top" wrapText="1"/>
    </xf>
    <xf numFmtId="0" fontId="10" fillId="3" borderId="6" xfId="0" applyFont="1" applyFill="1" applyBorder="1" applyAlignment="1">
      <alignment horizontal="left" vertical="top" wrapText="1"/>
    </xf>
    <xf numFmtId="0" fontId="8" fillId="0" borderId="0" xfId="0" applyFont="1"/>
    <xf numFmtId="0" fontId="8" fillId="10" borderId="6" xfId="0" applyFont="1" applyFill="1" applyBorder="1"/>
    <xf numFmtId="0" fontId="0" fillId="0" borderId="6" xfId="0" applyFont="1" applyBorder="1" applyAlignment="1">
      <alignment horizontal="left"/>
    </xf>
    <xf numFmtId="0" fontId="0" fillId="0" borderId="6" xfId="0" applyFont="1" applyBorder="1" applyAlignment="1">
      <alignment horizontal="center" vertical="center"/>
    </xf>
    <xf numFmtId="0" fontId="0" fillId="0" borderId="6" xfId="0" applyFont="1" applyBorder="1" applyAlignment="1">
      <alignment horizontal="left" vertical="top"/>
    </xf>
    <xf numFmtId="0" fontId="0" fillId="2" borderId="0" xfId="0" applyFont="1" applyFill="1" applyBorder="1"/>
    <xf numFmtId="0" fontId="0" fillId="0" borderId="0" xfId="0" applyFont="1" applyAlignment="1"/>
    <xf numFmtId="0" fontId="10" fillId="3" borderId="8" xfId="0" applyFont="1" applyFill="1" applyBorder="1" applyAlignment="1">
      <alignment horizontal="left" vertical="top" wrapText="1"/>
    </xf>
    <xf numFmtId="0" fontId="9" fillId="0" borderId="9" xfId="0" applyFont="1" applyBorder="1" applyAlignment="1">
      <alignment horizontal="center" vertical="center"/>
    </xf>
    <xf numFmtId="0" fontId="0" fillId="0" borderId="9" xfId="0" applyFont="1" applyBorder="1" applyAlignment="1"/>
    <xf numFmtId="0" fontId="8" fillId="0" borderId="9" xfId="0" applyFont="1" applyBorder="1" applyAlignment="1"/>
    <xf numFmtId="0" fontId="6" fillId="2" borderId="3" xfId="0" applyFont="1" applyFill="1" applyBorder="1" applyAlignment="1">
      <alignment horizontal="left" vertical="top" wrapText="1"/>
    </xf>
    <xf numFmtId="0" fontId="6" fillId="2" borderId="9" xfId="0" applyFont="1" applyFill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6" fillId="2" borderId="9" xfId="0" applyFont="1" applyFill="1" applyBorder="1" applyAlignment="1">
      <alignment vertical="top" wrapText="1"/>
    </xf>
    <xf numFmtId="0" fontId="6" fillId="0" borderId="9" xfId="0" applyFont="1" applyBorder="1" applyAlignment="1">
      <alignment vertical="top" wrapText="1"/>
    </xf>
    <xf numFmtId="0" fontId="2" fillId="0" borderId="9" xfId="0" applyFont="1" applyBorder="1" applyAlignment="1"/>
    <xf numFmtId="0" fontId="6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0" fillId="2" borderId="0" xfId="0" applyFont="1" applyFill="1" applyBorder="1"/>
    <xf numFmtId="0" fontId="0" fillId="0" borderId="0" xfId="0" applyFont="1" applyAlignment="1"/>
    <xf numFmtId="0" fontId="11" fillId="0" borderId="0" xfId="1" applyFont="1" applyAlignment="1"/>
    <xf numFmtId="0" fontId="11" fillId="0" borderId="9" xfId="1" applyFont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0" borderId="0" xfId="1" applyFont="1" applyBorder="1" applyAlignment="1">
      <alignment horizontal="center" vertical="center"/>
    </xf>
    <xf numFmtId="0" fontId="11" fillId="0" borderId="0" xfId="1" applyFont="1" applyBorder="1" applyAlignment="1">
      <alignment horizontal="left" vertical="top"/>
    </xf>
    <xf numFmtId="0" fontId="11" fillId="0" borderId="18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0" fillId="2" borderId="7" xfId="0" applyFont="1" applyFill="1" applyBorder="1" applyAlignment="1">
      <alignment vertical="top" wrapText="1"/>
    </xf>
    <xf numFmtId="0" fontId="10" fillId="6" borderId="7" xfId="0" applyFont="1" applyFill="1" applyBorder="1" applyAlignment="1">
      <alignment horizontal="right" vertical="top" wrapText="1"/>
    </xf>
    <xf numFmtId="0" fontId="5" fillId="3" borderId="9" xfId="0" applyFont="1" applyFill="1" applyBorder="1" applyAlignment="1">
      <alignment horizontal="left" wrapText="1"/>
    </xf>
    <xf numFmtId="0" fontId="6" fillId="0" borderId="9" xfId="0" applyFont="1" applyBorder="1" applyAlignment="1">
      <alignment wrapText="1"/>
    </xf>
    <xf numFmtId="0" fontId="5" fillId="3" borderId="9" xfId="0" applyFont="1" applyFill="1" applyBorder="1" applyAlignment="1">
      <alignment horizontal="left" vertical="top" wrapText="1"/>
    </xf>
    <xf numFmtId="164" fontId="6" fillId="0" borderId="9" xfId="0" applyNumberFormat="1" applyFont="1" applyBorder="1" applyAlignment="1">
      <alignment horizontal="left" vertical="top" wrapText="1"/>
    </xf>
    <xf numFmtId="0" fontId="9" fillId="0" borderId="9" xfId="0" applyFont="1" applyBorder="1"/>
    <xf numFmtId="0" fontId="5" fillId="3" borderId="9" xfId="0" applyFont="1" applyFill="1" applyBorder="1" applyAlignment="1">
      <alignment vertical="top" wrapText="1"/>
    </xf>
    <xf numFmtId="0" fontId="7" fillId="0" borderId="0" xfId="0" applyFont="1" applyBorder="1"/>
    <xf numFmtId="0" fontId="9" fillId="0" borderId="0" xfId="0" applyFont="1" applyBorder="1"/>
    <xf numFmtId="0" fontId="10" fillId="10" borderId="9" xfId="1" applyFont="1" applyFill="1" applyBorder="1" applyAlignment="1">
      <alignment horizontal="center" vertical="center" wrapText="1"/>
    </xf>
    <xf numFmtId="0" fontId="11" fillId="0" borderId="9" xfId="1" applyBorder="1" applyAlignment="1">
      <alignment horizontal="center"/>
    </xf>
    <xf numFmtId="0" fontId="10" fillId="4" borderId="9" xfId="0" applyFont="1" applyFill="1" applyBorder="1" applyAlignment="1">
      <alignment vertical="top" wrapText="1"/>
    </xf>
    <xf numFmtId="0" fontId="14" fillId="0" borderId="0" xfId="1" applyFont="1" applyAlignment="1"/>
    <xf numFmtId="0" fontId="2" fillId="0" borderId="0" xfId="1" applyFont="1" applyAlignment="1"/>
    <xf numFmtId="0" fontId="2" fillId="0" borderId="9" xfId="1" applyFont="1" applyBorder="1" applyAlignment="1">
      <alignment horizontal="center" vertical="center"/>
    </xf>
    <xf numFmtId="0" fontId="2" fillId="0" borderId="13" xfId="1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9" fillId="0" borderId="9" xfId="0" applyFont="1" applyFill="1" applyBorder="1" applyAlignment="1">
      <alignment horizontal="center" vertical="center"/>
    </xf>
    <xf numFmtId="0" fontId="18" fillId="0" borderId="9" xfId="0" applyFont="1" applyBorder="1" applyAlignment="1"/>
    <xf numFmtId="0" fontId="9" fillId="13" borderId="9" xfId="0" applyFont="1" applyFill="1" applyBorder="1" applyAlignment="1">
      <alignment horizontal="left" vertical="top"/>
    </xf>
    <xf numFmtId="0" fontId="6" fillId="14" borderId="9" xfId="0" applyFont="1" applyFill="1" applyBorder="1" applyAlignment="1">
      <alignment horizontal="left" vertical="top" wrapText="1"/>
    </xf>
    <xf numFmtId="0" fontId="9" fillId="13" borderId="22" xfId="0" applyFont="1" applyFill="1" applyBorder="1" applyAlignment="1">
      <alignment horizontal="center" vertical="center"/>
    </xf>
    <xf numFmtId="0" fontId="9" fillId="13" borderId="9" xfId="0" applyFont="1" applyFill="1" applyBorder="1" applyAlignment="1">
      <alignment horizontal="center" vertical="center"/>
    </xf>
    <xf numFmtId="0" fontId="9" fillId="13" borderId="22" xfId="0" applyFont="1" applyFill="1" applyBorder="1" applyAlignment="1">
      <alignment horizontal="center"/>
    </xf>
    <xf numFmtId="0" fontId="9" fillId="13" borderId="9" xfId="0" applyFont="1" applyFill="1" applyBorder="1" applyAlignment="1">
      <alignment horizontal="center" vertical="center" wrapText="1"/>
    </xf>
    <xf numFmtId="0" fontId="9" fillId="13" borderId="9" xfId="0" applyFont="1" applyFill="1" applyBorder="1" applyAlignment="1">
      <alignment horizontal="left" vertical="center"/>
    </xf>
    <xf numFmtId="0" fontId="12" fillId="0" borderId="9" xfId="2" applyBorder="1"/>
    <xf numFmtId="0" fontId="8" fillId="0" borderId="0" xfId="3" applyFont="1" applyFill="1" applyBorder="1" applyAlignment="1"/>
    <xf numFmtId="0" fontId="17" fillId="0" borderId="9" xfId="3" applyFont="1" applyBorder="1" applyAlignment="1">
      <alignment horizontal="left" vertical="center" wrapText="1"/>
    </xf>
    <xf numFmtId="0" fontId="0" fillId="0" borderId="0" xfId="0" applyFont="1" applyAlignment="1"/>
    <xf numFmtId="0" fontId="9" fillId="0" borderId="10" xfId="0" applyFont="1" applyFill="1" applyBorder="1" applyAlignment="1">
      <alignment vertical="center"/>
    </xf>
    <xf numFmtId="0" fontId="9" fillId="0" borderId="10" xfId="0" applyFont="1" applyFill="1" applyBorder="1" applyAlignment="1">
      <alignment vertical="top"/>
    </xf>
    <xf numFmtId="0" fontId="9" fillId="0" borderId="22" xfId="0" applyFont="1" applyFill="1" applyBorder="1" applyAlignment="1">
      <alignment vertical="center"/>
    </xf>
    <xf numFmtId="0" fontId="9" fillId="0" borderId="22" xfId="0" applyFont="1" applyFill="1" applyBorder="1" applyAlignment="1">
      <alignment vertical="top"/>
    </xf>
    <xf numFmtId="0" fontId="9" fillId="0" borderId="11" xfId="0" applyFont="1" applyFill="1" applyBorder="1" applyAlignment="1">
      <alignment vertical="center"/>
    </xf>
    <xf numFmtId="0" fontId="8" fillId="5" borderId="14" xfId="3" applyFont="1" applyFill="1" applyBorder="1" applyAlignment="1">
      <alignment horizontal="center"/>
    </xf>
    <xf numFmtId="0" fontId="8" fillId="5" borderId="14" xfId="3" applyFont="1" applyFill="1" applyBorder="1"/>
    <xf numFmtId="0" fontId="8" fillId="5" borderId="10" xfId="3" applyFont="1" applyFill="1" applyBorder="1" applyAlignment="1">
      <alignment horizontal="center"/>
    </xf>
    <xf numFmtId="0" fontId="2" fillId="0" borderId="9" xfId="3" applyFont="1" applyBorder="1" applyAlignment="1">
      <alignment horizontal="center" vertical="center"/>
    </xf>
    <xf numFmtId="0" fontId="2" fillId="2" borderId="9" xfId="3" applyFont="1" applyFill="1" applyBorder="1" applyAlignment="1">
      <alignment horizontal="left" vertical="top" wrapText="1"/>
    </xf>
    <xf numFmtId="0" fontId="6" fillId="0" borderId="0" xfId="0" applyFont="1" applyAlignment="1">
      <alignment horizontal="center" vertical="top" wrapText="1"/>
    </xf>
    <xf numFmtId="0" fontId="0" fillId="0" borderId="0" xfId="0" applyFont="1" applyAlignment="1"/>
    <xf numFmtId="0" fontId="9" fillId="0" borderId="11" xfId="0" applyFont="1" applyFill="1" applyBorder="1" applyAlignment="1">
      <alignment horizontal="center"/>
    </xf>
    <xf numFmtId="0" fontId="0" fillId="0" borderId="0" xfId="0" applyFont="1" applyAlignment="1"/>
    <xf numFmtId="0" fontId="9" fillId="0" borderId="9" xfId="0" applyFont="1" applyFill="1" applyBorder="1" applyAlignment="1">
      <alignment horizontal="left" vertical="top"/>
    </xf>
    <xf numFmtId="0" fontId="0" fillId="0" borderId="0" xfId="0" applyFont="1" applyAlignment="1"/>
    <xf numFmtId="0" fontId="6" fillId="0" borderId="9" xfId="0" applyFont="1" applyFill="1" applyBorder="1" applyAlignment="1">
      <alignment horizontal="left" vertical="top" wrapText="1"/>
    </xf>
    <xf numFmtId="0" fontId="9" fillId="0" borderId="9" xfId="0" applyFont="1" applyFill="1" applyBorder="1" applyAlignment="1">
      <alignment horizontal="left" vertical="top" wrapText="1"/>
    </xf>
    <xf numFmtId="0" fontId="9" fillId="0" borderId="22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/>
    </xf>
    <xf numFmtId="0" fontId="0" fillId="0" borderId="0" xfId="0" applyFont="1" applyAlignment="1"/>
    <xf numFmtId="0" fontId="9" fillId="0" borderId="11" xfId="0" applyFont="1" applyFill="1" applyBorder="1" applyAlignment="1">
      <alignment vertical="top"/>
    </xf>
    <xf numFmtId="0" fontId="0" fillId="0" borderId="0" xfId="0" applyFont="1" applyAlignment="1"/>
    <xf numFmtId="0" fontId="9" fillId="0" borderId="22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/>
    </xf>
    <xf numFmtId="0" fontId="0" fillId="0" borderId="0" xfId="0" applyFont="1" applyAlignment="1"/>
    <xf numFmtId="0" fontId="9" fillId="0" borderId="11" xfId="0" applyFont="1" applyFill="1" applyBorder="1" applyAlignment="1">
      <alignment horizontal="center"/>
    </xf>
    <xf numFmtId="0" fontId="0" fillId="0" borderId="0" xfId="0" applyFont="1" applyAlignment="1"/>
    <xf numFmtId="0" fontId="9" fillId="0" borderId="22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/>
    </xf>
    <xf numFmtId="0" fontId="9" fillId="0" borderId="11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 vertical="center"/>
    </xf>
    <xf numFmtId="0" fontId="0" fillId="0" borderId="0" xfId="0" applyFont="1" applyAlignment="1"/>
    <xf numFmtId="0" fontId="9" fillId="0" borderId="22" xfId="0" applyFont="1" applyFill="1" applyBorder="1" applyAlignment="1">
      <alignment horizontal="center"/>
    </xf>
    <xf numFmtId="0" fontId="9" fillId="0" borderId="11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0" fillId="0" borderId="22" xfId="0" applyFont="1" applyBorder="1" applyAlignment="1"/>
    <xf numFmtId="0" fontId="9" fillId="0" borderId="27" xfId="0" applyFont="1" applyFill="1" applyBorder="1" applyAlignment="1">
      <alignment vertical="center"/>
    </xf>
    <xf numFmtId="0" fontId="9" fillId="0" borderId="22" xfId="0" applyFont="1" applyFill="1" applyBorder="1" applyAlignment="1"/>
    <xf numFmtId="0" fontId="9" fillId="0" borderId="11" xfId="0" applyFont="1" applyFill="1" applyBorder="1" applyAlignment="1"/>
    <xf numFmtId="0" fontId="9" fillId="0" borderId="22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 vertical="center"/>
    </xf>
    <xf numFmtId="0" fontId="0" fillId="0" borderId="0" xfId="0" applyFont="1" applyAlignment="1"/>
    <xf numFmtId="0" fontId="11" fillId="0" borderId="13" xfId="1" applyFont="1" applyBorder="1" applyAlignment="1">
      <alignment horizontal="left"/>
    </xf>
    <xf numFmtId="0" fontId="11" fillId="0" borderId="23" xfId="1" applyFont="1" applyBorder="1" applyAlignment="1">
      <alignment horizontal="left"/>
    </xf>
    <xf numFmtId="0" fontId="11" fillId="0" borderId="21" xfId="1" applyFont="1" applyBorder="1" applyAlignment="1">
      <alignment horizontal="left"/>
    </xf>
    <xf numFmtId="0" fontId="8" fillId="5" borderId="9" xfId="3" applyFont="1" applyFill="1" applyBorder="1" applyAlignment="1">
      <alignment horizontal="center"/>
    </xf>
    <xf numFmtId="0" fontId="2" fillId="0" borderId="9" xfId="3" applyFont="1" applyBorder="1" applyAlignment="1">
      <alignment horizontal="left" vertical="top" wrapText="1"/>
    </xf>
    <xf numFmtId="0" fontId="8" fillId="5" borderId="10" xfId="3" applyFont="1" applyFill="1" applyBorder="1" applyAlignment="1">
      <alignment horizontal="left"/>
    </xf>
    <xf numFmtId="0" fontId="14" fillId="0" borderId="12" xfId="1" applyFont="1" applyBorder="1" applyAlignment="1">
      <alignment horizontal="left"/>
    </xf>
    <xf numFmtId="0" fontId="14" fillId="0" borderId="0" xfId="1" applyFont="1" applyBorder="1" applyAlignment="1">
      <alignment horizontal="left"/>
    </xf>
    <xf numFmtId="0" fontId="10" fillId="10" borderId="14" xfId="1" applyFont="1" applyFill="1" applyBorder="1" applyAlignment="1">
      <alignment horizontal="center" vertical="center" wrapText="1"/>
    </xf>
    <xf numFmtId="0" fontId="10" fillId="10" borderId="15" xfId="1" applyFont="1" applyFill="1" applyBorder="1" applyAlignment="1">
      <alignment horizontal="center" vertical="center" wrapText="1"/>
    </xf>
    <xf numFmtId="0" fontId="10" fillId="10" borderId="16" xfId="1" applyFont="1" applyFill="1" applyBorder="1" applyAlignment="1">
      <alignment horizontal="center" vertical="center" wrapText="1"/>
    </xf>
    <xf numFmtId="0" fontId="10" fillId="10" borderId="17" xfId="1" applyFont="1" applyFill="1" applyBorder="1" applyAlignment="1">
      <alignment horizontal="center" vertical="center" wrapText="1"/>
    </xf>
    <xf numFmtId="0" fontId="10" fillId="10" borderId="9" xfId="1" applyFont="1" applyFill="1" applyBorder="1" applyAlignment="1">
      <alignment horizontal="center" vertical="center" wrapText="1"/>
    </xf>
    <xf numFmtId="0" fontId="10" fillId="10" borderId="19" xfId="1" applyFont="1" applyFill="1" applyBorder="1" applyAlignment="1">
      <alignment horizontal="center" vertical="center" wrapText="1"/>
    </xf>
    <xf numFmtId="0" fontId="10" fillId="10" borderId="20" xfId="1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9" fillId="0" borderId="12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 wrapText="1"/>
    </xf>
    <xf numFmtId="0" fontId="9" fillId="0" borderId="25" xfId="0" applyFont="1" applyFill="1" applyBorder="1" applyAlignment="1">
      <alignment horizontal="center" vertical="center" wrapText="1"/>
    </xf>
    <xf numFmtId="0" fontId="9" fillId="0" borderId="18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 vertical="center" wrapText="1"/>
    </xf>
    <xf numFmtId="0" fontId="0" fillId="2" borderId="0" xfId="0" applyFont="1" applyFill="1" applyBorder="1"/>
    <xf numFmtId="0" fontId="2" fillId="0" borderId="0" xfId="0" applyFont="1" applyBorder="1"/>
    <xf numFmtId="0" fontId="3" fillId="3" borderId="0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top" wrapText="1"/>
    </xf>
    <xf numFmtId="0" fontId="10" fillId="4" borderId="21" xfId="0" applyFont="1" applyFill="1" applyBorder="1" applyAlignment="1">
      <alignment horizontal="center" vertical="top" wrapText="1"/>
    </xf>
    <xf numFmtId="0" fontId="4" fillId="3" borderId="0" xfId="0" applyFont="1" applyFill="1" applyBorder="1" applyAlignment="1">
      <alignment horizontal="center" vertical="center"/>
    </xf>
    <xf numFmtId="0" fontId="10" fillId="11" borderId="9" xfId="0" applyFont="1" applyFill="1" applyBorder="1" applyAlignment="1">
      <alignment horizontal="center" vertical="top" wrapText="1"/>
    </xf>
    <xf numFmtId="0" fontId="10" fillId="12" borderId="9" xfId="0" applyFont="1" applyFill="1" applyBorder="1" applyAlignment="1">
      <alignment horizontal="left" vertical="top" wrapText="1"/>
    </xf>
    <xf numFmtId="0" fontId="9" fillId="0" borderId="10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/>
    </xf>
    <xf numFmtId="0" fontId="9" fillId="0" borderId="11" xfId="0" applyFont="1" applyFill="1" applyBorder="1" applyAlignment="1">
      <alignment horizontal="center"/>
    </xf>
    <xf numFmtId="0" fontId="9" fillId="0" borderId="24" xfId="0" applyFont="1" applyFill="1" applyBorder="1" applyAlignment="1">
      <alignment horizontal="center" vertical="center" wrapText="1"/>
    </xf>
    <xf numFmtId="0" fontId="9" fillId="0" borderId="24" xfId="0" applyFont="1" applyFill="1" applyBorder="1" applyAlignment="1">
      <alignment horizontal="center" vertical="center"/>
    </xf>
    <xf numFmtId="0" fontId="9" fillId="0" borderId="25" xfId="0" applyFont="1" applyFill="1" applyBorder="1" applyAlignment="1">
      <alignment horizontal="center" vertical="center"/>
    </xf>
    <xf numFmtId="0" fontId="9" fillId="0" borderId="26" xfId="0" applyFont="1" applyFill="1" applyBorder="1" applyAlignment="1">
      <alignment horizontal="center" vertical="center"/>
    </xf>
    <xf numFmtId="0" fontId="10" fillId="10" borderId="3" xfId="0" applyFont="1" applyFill="1" applyBorder="1" applyAlignment="1">
      <alignment horizontal="left" vertical="top" wrapText="1"/>
    </xf>
    <xf numFmtId="0" fontId="2" fillId="0" borderId="1" xfId="0" applyFont="1" applyBorder="1"/>
    <xf numFmtId="0" fontId="2" fillId="0" borderId="2" xfId="0" applyFont="1" applyBorder="1"/>
    <xf numFmtId="0" fontId="10" fillId="4" borderId="3" xfId="0" applyFont="1" applyFill="1" applyBorder="1" applyAlignment="1">
      <alignment horizontal="center" vertical="top" wrapText="1"/>
    </xf>
    <xf numFmtId="0" fontId="2" fillId="0" borderId="4" xfId="0" applyFont="1" applyBorder="1"/>
    <xf numFmtId="0" fontId="10" fillId="3" borderId="3" xfId="0" applyFont="1" applyFill="1" applyBorder="1" applyAlignment="1">
      <alignment horizontal="left" vertical="top" wrapText="1"/>
    </xf>
    <xf numFmtId="0" fontId="2" fillId="0" borderId="5" xfId="0" applyFont="1" applyBorder="1"/>
    <xf numFmtId="0" fontId="8" fillId="0" borderId="0" xfId="0" applyFont="1" applyAlignment="1">
      <alignment horizontal="center"/>
    </xf>
    <xf numFmtId="0" fontId="0" fillId="0" borderId="0" xfId="0" applyFont="1" applyAlignment="1"/>
  </cellXfs>
  <cellStyles count="4">
    <cellStyle name="Hyperlink" xfId="2" builtinId="8"/>
    <cellStyle name="Normal" xfId="0" builtinId="0"/>
    <cellStyle name="Normal 2" xfId="1"/>
    <cellStyle name="Normal 3" xfId="3"/>
  </cellStyles>
  <dxfs count="0"/>
  <tableStyles count="0" defaultTableStyle="TableStyleMedium9" defaultPivotStyle="PivotStyleLight16"/>
  <colors>
    <mruColors>
      <color rgb="FF1F05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76200</xdr:colOff>
      <xdr:row>16</xdr:row>
      <xdr:rowOff>0</xdr:rowOff>
    </xdr:to>
    <xdr:sp macro="" textlink="">
      <xdr:nvSpPr>
        <xdr:cNvPr id="1025" name="Rectangle 1" hidden="1">
          <a:extLst>
            <a:ext uri="{FF2B5EF4-FFF2-40B4-BE49-F238E27FC236}">
              <a16:creationId xmlns:a16="http://schemas.microsoft.com/office/drawing/2014/main" xmlns="" id="{00000000-0008-0000-0100-00000104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1</xdr:colOff>
      <xdr:row>0</xdr:row>
      <xdr:rowOff>1</xdr:rowOff>
    </xdr:from>
    <xdr:to>
      <xdr:col>0</xdr:col>
      <xdr:colOff>1085851</xdr:colOff>
      <xdr:row>4</xdr:row>
      <xdr:rowOff>152401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1085850" cy="1085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19050</xdr:colOff>
      <xdr:row>4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6800" cy="10668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438149</xdr:colOff>
      <xdr:row>4</xdr:row>
      <xdr:rowOff>171449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4424" cy="11144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533400</xdr:colOff>
      <xdr:row>4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0125" cy="10001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awloyalty/Templates/CheckList_Template_V%200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Execution Summery"/>
      <sheetName val="Checklist"/>
      <sheetName val="Test Data"/>
      <sheetName val="Issues"/>
    </sheetNames>
    <sheetDataSet>
      <sheetData sheetId="0"/>
      <sheetData sheetId="1"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2"/>
  <sheetViews>
    <sheetView tabSelected="1" topLeftCell="D1" workbookViewId="0">
      <selection activeCell="C24" sqref="C24"/>
    </sheetView>
  </sheetViews>
  <sheetFormatPr defaultRowHeight="15" x14ac:dyDescent="0.25"/>
  <cols>
    <col min="1" max="1" width="9.140625" style="41"/>
    <col min="2" max="2" width="13.5703125" style="41" customWidth="1"/>
    <col min="3" max="3" width="159.28515625" style="41" bestFit="1" customWidth="1"/>
    <col min="4" max="4" width="26.85546875" style="41" customWidth="1"/>
    <col min="5" max="5" width="21.140625" style="41" bestFit="1" customWidth="1"/>
    <col min="6" max="6" width="15.140625" style="41" customWidth="1"/>
    <col min="7" max="7" width="68" style="41" customWidth="1"/>
    <col min="8" max="8" width="23.7109375" style="41" customWidth="1"/>
    <col min="9" max="16384" width="9.140625" style="41"/>
  </cols>
  <sheetData>
    <row r="2" spans="2:9" x14ac:dyDescent="0.25">
      <c r="D2" s="61" t="s">
        <v>163</v>
      </c>
    </row>
    <row r="4" spans="2:9" x14ac:dyDescent="0.25">
      <c r="B4" s="62"/>
      <c r="C4" s="61" t="s">
        <v>86</v>
      </c>
      <c r="D4" s="61" t="s">
        <v>83</v>
      </c>
      <c r="E4" s="61" t="s">
        <v>82</v>
      </c>
      <c r="F4" s="62"/>
      <c r="G4" s="62"/>
      <c r="H4" s="62"/>
    </row>
    <row r="5" spans="2:9" x14ac:dyDescent="0.25">
      <c r="B5" s="134" t="s">
        <v>66</v>
      </c>
      <c r="C5" s="134"/>
      <c r="D5" s="135"/>
      <c r="E5" s="135"/>
      <c r="F5" s="135"/>
      <c r="G5" s="134"/>
      <c r="H5" s="134"/>
    </row>
    <row r="6" spans="2:9" ht="15" customHeight="1" x14ac:dyDescent="0.25">
      <c r="B6" s="136" t="s">
        <v>45</v>
      </c>
      <c r="C6" s="138" t="s">
        <v>46</v>
      </c>
      <c r="D6" s="140" t="s">
        <v>67</v>
      </c>
      <c r="E6" s="140"/>
      <c r="F6" s="140"/>
      <c r="G6" s="141" t="s">
        <v>68</v>
      </c>
      <c r="H6" s="140" t="s">
        <v>69</v>
      </c>
    </row>
    <row r="7" spans="2:9" ht="30" customHeight="1" x14ac:dyDescent="0.25">
      <c r="B7" s="137"/>
      <c r="C7" s="139"/>
      <c r="D7" s="58" t="s">
        <v>17</v>
      </c>
      <c r="E7" s="58" t="s">
        <v>70</v>
      </c>
      <c r="F7" s="58" t="s">
        <v>71</v>
      </c>
      <c r="G7" s="142"/>
      <c r="H7" s="140"/>
    </row>
    <row r="8" spans="2:9" x14ac:dyDescent="0.25">
      <c r="B8" s="63">
        <v>7631</v>
      </c>
      <c r="C8" s="64" t="s">
        <v>164</v>
      </c>
      <c r="D8" s="59">
        <v>10</v>
      </c>
      <c r="E8" s="46">
        <f t="array" ref="E8">SUM([1]Checklist!H7:H9)</f>
        <v>0</v>
      </c>
      <c r="F8" s="47">
        <f>(D8-E8)</f>
        <v>10</v>
      </c>
      <c r="G8" s="42">
        <v>0</v>
      </c>
      <c r="H8" s="42"/>
      <c r="I8" s="43"/>
    </row>
    <row r="9" spans="2:9" x14ac:dyDescent="0.25">
      <c r="B9" s="44"/>
      <c r="C9" s="45"/>
      <c r="D9" s="44"/>
      <c r="E9" s="44"/>
      <c r="F9" s="44"/>
      <c r="G9" s="44"/>
      <c r="H9" s="44"/>
      <c r="I9" s="44"/>
    </row>
    <row r="10" spans="2:9" x14ac:dyDescent="0.25">
      <c r="B10" s="44"/>
      <c r="C10" s="45"/>
      <c r="D10" s="44"/>
      <c r="E10" s="44"/>
      <c r="F10" s="44"/>
      <c r="G10" s="44"/>
      <c r="H10" s="44"/>
      <c r="I10" s="44"/>
    </row>
    <row r="11" spans="2:9" x14ac:dyDescent="0.25">
      <c r="B11" s="131" t="s">
        <v>3</v>
      </c>
      <c r="C11" s="131"/>
      <c r="D11" s="131"/>
      <c r="E11" s="131"/>
      <c r="F11" s="131"/>
      <c r="G11" s="131"/>
      <c r="H11" s="77"/>
    </row>
    <row r="12" spans="2:9" x14ac:dyDescent="0.25">
      <c r="B12" s="85" t="s">
        <v>73</v>
      </c>
      <c r="C12" s="86" t="s">
        <v>74</v>
      </c>
      <c r="D12" s="87" t="s">
        <v>5</v>
      </c>
      <c r="E12" s="133" t="s">
        <v>4</v>
      </c>
      <c r="F12" s="133"/>
      <c r="G12" s="133"/>
    </row>
    <row r="13" spans="2:9" ht="21.75" customHeight="1" x14ac:dyDescent="0.25">
      <c r="B13" s="88"/>
      <c r="C13" s="89"/>
      <c r="D13" s="78" t="s">
        <v>124</v>
      </c>
      <c r="E13" s="132" t="s">
        <v>123</v>
      </c>
      <c r="F13" s="132"/>
      <c r="G13" s="132"/>
    </row>
    <row r="14" spans="2:9" x14ac:dyDescent="0.25">
      <c r="B14" s="88"/>
      <c r="C14" s="89"/>
      <c r="D14" s="78" t="s">
        <v>136</v>
      </c>
      <c r="E14" s="128" t="s">
        <v>138</v>
      </c>
      <c r="F14" s="129"/>
      <c r="G14" s="130"/>
    </row>
    <row r="15" spans="2:9" x14ac:dyDescent="0.25">
      <c r="B15" s="88"/>
      <c r="C15" s="89"/>
      <c r="D15" s="78" t="s">
        <v>140</v>
      </c>
      <c r="E15" s="128" t="s">
        <v>141</v>
      </c>
      <c r="F15" s="129"/>
      <c r="G15" s="130"/>
    </row>
    <row r="16" spans="2:9" x14ac:dyDescent="0.25">
      <c r="B16" s="88"/>
      <c r="C16" s="89"/>
      <c r="D16" s="78" t="s">
        <v>142</v>
      </c>
      <c r="E16" s="128" t="s">
        <v>137</v>
      </c>
      <c r="F16" s="129"/>
      <c r="G16" s="130"/>
    </row>
    <row r="17" spans="2:7" x14ac:dyDescent="0.25">
      <c r="B17" s="88"/>
      <c r="C17" s="89"/>
      <c r="D17" s="78" t="s">
        <v>145</v>
      </c>
      <c r="E17" s="128" t="s">
        <v>146</v>
      </c>
      <c r="F17" s="129"/>
      <c r="G17" s="130"/>
    </row>
    <row r="18" spans="2:7" x14ac:dyDescent="0.25">
      <c r="B18" s="88"/>
      <c r="C18" s="89"/>
      <c r="D18" s="78" t="s">
        <v>158</v>
      </c>
      <c r="E18" s="128" t="s">
        <v>148</v>
      </c>
      <c r="F18" s="129"/>
      <c r="G18" s="130"/>
    </row>
    <row r="19" spans="2:7" x14ac:dyDescent="0.25">
      <c r="B19" s="88"/>
      <c r="C19" s="89"/>
      <c r="D19" s="78" t="s">
        <v>159</v>
      </c>
      <c r="E19" s="128" t="s">
        <v>149</v>
      </c>
      <c r="F19" s="129"/>
      <c r="G19" s="130"/>
    </row>
    <row r="20" spans="2:7" x14ac:dyDescent="0.25">
      <c r="B20" s="88"/>
      <c r="C20" s="89"/>
      <c r="D20" s="78" t="s">
        <v>160</v>
      </c>
      <c r="E20" s="128" t="s">
        <v>150</v>
      </c>
      <c r="F20" s="129"/>
      <c r="G20" s="130"/>
    </row>
    <row r="21" spans="2:7" x14ac:dyDescent="0.25">
      <c r="B21" s="88"/>
      <c r="C21" s="89"/>
      <c r="D21" s="78" t="s">
        <v>161</v>
      </c>
      <c r="E21" s="128" t="s">
        <v>151</v>
      </c>
      <c r="F21" s="129"/>
      <c r="G21" s="130"/>
    </row>
    <row r="22" spans="2:7" x14ac:dyDescent="0.25">
      <c r="B22" s="88"/>
      <c r="C22" s="89"/>
      <c r="D22" s="78" t="s">
        <v>162</v>
      </c>
      <c r="E22" s="128" t="s">
        <v>152</v>
      </c>
      <c r="F22" s="129"/>
      <c r="G22" s="130"/>
    </row>
  </sheetData>
  <mergeCells count="18">
    <mergeCell ref="B11:G11"/>
    <mergeCell ref="E13:G13"/>
    <mergeCell ref="E14:G14"/>
    <mergeCell ref="E12:G12"/>
    <mergeCell ref="B5:H5"/>
    <mergeCell ref="B6:B7"/>
    <mergeCell ref="C6:C7"/>
    <mergeCell ref="D6:F6"/>
    <mergeCell ref="G6:G7"/>
    <mergeCell ref="H6:H7"/>
    <mergeCell ref="E20:G20"/>
    <mergeCell ref="E21:G21"/>
    <mergeCell ref="E22:G22"/>
    <mergeCell ref="E15:G15"/>
    <mergeCell ref="E16:G16"/>
    <mergeCell ref="E17:G17"/>
    <mergeCell ref="E18:G18"/>
    <mergeCell ref="E19:G19"/>
  </mergeCells>
  <phoneticPr fontId="1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96"/>
  <sheetViews>
    <sheetView topLeftCell="A71" zoomScale="90" zoomScaleNormal="90" workbookViewId="0">
      <selection activeCell="B95" sqref="B95:B96"/>
    </sheetView>
  </sheetViews>
  <sheetFormatPr defaultColWidth="15.140625" defaultRowHeight="15" customHeight="1" outlineLevelRow="1" x14ac:dyDescent="0.25"/>
  <cols>
    <col min="1" max="1" width="18.5703125" customWidth="1"/>
    <col min="2" max="2" width="70.42578125" customWidth="1"/>
    <col min="3" max="3" width="50.42578125" bestFit="1" customWidth="1"/>
    <col min="4" max="4" width="45.28515625" bestFit="1" customWidth="1"/>
    <col min="5" max="5" width="17.85546875" customWidth="1"/>
    <col min="6" max="6" width="163.5703125" bestFit="1" customWidth="1"/>
    <col min="7" max="7" width="17.140625" style="40" customWidth="1"/>
    <col min="8" max="9" width="15.42578125" customWidth="1"/>
    <col min="10" max="10" width="15.5703125" customWidth="1"/>
    <col min="11" max="11" width="19" customWidth="1"/>
    <col min="12" max="12" width="15.42578125" customWidth="1"/>
    <col min="13" max="13" width="14" customWidth="1"/>
    <col min="14" max="14" width="14.140625" customWidth="1"/>
  </cols>
  <sheetData>
    <row r="1" spans="1:14" ht="15.75" customHeight="1" x14ac:dyDescent="0.25">
      <c r="A1" s="152"/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"/>
      <c r="N1" s="1"/>
    </row>
    <row r="2" spans="1:14" ht="28.5" customHeight="1" x14ac:dyDescent="0.25">
      <c r="A2" s="154" t="s">
        <v>80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"/>
      <c r="N2" s="1"/>
    </row>
    <row r="3" spans="1:14" ht="12.75" customHeight="1" x14ac:dyDescent="0.25">
      <c r="A3" s="2"/>
      <c r="B3" s="2"/>
      <c r="C3" s="2"/>
      <c r="D3" s="2"/>
      <c r="E3" s="2"/>
      <c r="F3" s="2"/>
      <c r="G3" s="39"/>
      <c r="H3" s="2"/>
      <c r="I3" s="2"/>
      <c r="J3" s="2"/>
      <c r="K3" s="2"/>
      <c r="L3" s="2"/>
      <c r="M3" s="1"/>
      <c r="N3" s="1"/>
    </row>
    <row r="4" spans="1:14" ht="16.5" customHeight="1" x14ac:dyDescent="0.25">
      <c r="A4" s="157" t="s">
        <v>81</v>
      </c>
      <c r="B4" s="153"/>
      <c r="C4" s="153"/>
      <c r="D4" s="153"/>
      <c r="E4" s="153"/>
      <c r="F4" s="153"/>
      <c r="G4" s="153"/>
      <c r="H4" s="153"/>
      <c r="I4" s="153"/>
      <c r="J4" s="153"/>
      <c r="K4" s="153"/>
      <c r="L4" s="153"/>
      <c r="M4" s="1"/>
      <c r="N4" s="1"/>
    </row>
    <row r="5" spans="1:14" ht="12.7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4" s="40" customFormat="1" ht="12.75" customHeight="1" x14ac:dyDescent="0.3">
      <c r="A6" s="50" t="s">
        <v>76</v>
      </c>
      <c r="B6" s="68" t="s">
        <v>88</v>
      </c>
      <c r="C6" s="7"/>
      <c r="D6" s="7"/>
      <c r="E6" s="7"/>
      <c r="F6" s="7"/>
      <c r="G6" s="158" t="s">
        <v>64</v>
      </c>
      <c r="H6" s="158"/>
      <c r="I6" s="158"/>
      <c r="J6" s="7"/>
      <c r="K6" s="155" t="s">
        <v>65</v>
      </c>
      <c r="L6" s="156"/>
      <c r="M6" s="7"/>
      <c r="N6" s="7"/>
    </row>
    <row r="7" spans="1:14" ht="33" customHeight="1" x14ac:dyDescent="0.25">
      <c r="A7" s="52" t="s">
        <v>2</v>
      </c>
      <c r="B7" s="53" t="s">
        <v>84</v>
      </c>
      <c r="C7" s="10"/>
      <c r="D7" s="7"/>
      <c r="E7" s="7"/>
      <c r="F7" s="7"/>
      <c r="G7" s="60" t="s">
        <v>72</v>
      </c>
      <c r="H7" s="60" t="s">
        <v>78</v>
      </c>
      <c r="I7" s="60" t="s">
        <v>79</v>
      </c>
      <c r="J7" s="7"/>
      <c r="K7" s="60" t="s">
        <v>72</v>
      </c>
      <c r="L7" s="60" t="s">
        <v>79</v>
      </c>
      <c r="M7" s="7"/>
      <c r="N7" s="7"/>
    </row>
    <row r="8" spans="1:14" ht="12.75" customHeight="1" x14ac:dyDescent="0.25">
      <c r="A8" s="52" t="s">
        <v>9</v>
      </c>
      <c r="B8" s="53">
        <v>45145</v>
      </c>
      <c r="C8" s="90"/>
      <c r="D8" s="7"/>
      <c r="E8" s="7"/>
      <c r="F8" s="7"/>
      <c r="G8" s="48" t="s">
        <v>10</v>
      </c>
      <c r="H8" s="49">
        <f t="array" ref="H8">(COUNTIF(G16:G16,"Pass"))</f>
        <v>0</v>
      </c>
      <c r="I8" s="49">
        <f t="array" ref="I8">(COUNTIF(H16:H16,"Pass"))</f>
        <v>0</v>
      </c>
      <c r="J8" s="7"/>
      <c r="K8" s="48" t="s">
        <v>10</v>
      </c>
      <c r="L8" s="49">
        <f t="array" ref="L8">(COUNTIF(I16:I16,"Pass"))</f>
        <v>0</v>
      </c>
      <c r="M8" s="7"/>
      <c r="N8" s="7"/>
    </row>
    <row r="9" spans="1:14" ht="12.75" customHeight="1" x14ac:dyDescent="0.25">
      <c r="A9" s="52" t="s">
        <v>12</v>
      </c>
      <c r="B9" s="51"/>
      <c r="C9" s="10"/>
      <c r="D9" s="7"/>
      <c r="E9" s="7"/>
      <c r="F9" s="7"/>
      <c r="G9" s="11" t="s">
        <v>13</v>
      </c>
      <c r="H9" s="13">
        <f t="array" ref="H9">(COUNTIF(G16:G16,"Fail"))</f>
        <v>0</v>
      </c>
      <c r="I9" s="13">
        <f t="array" ref="I9">(COUNTIF(H16:H16,"Fail"))</f>
        <v>0</v>
      </c>
      <c r="J9" s="7"/>
      <c r="K9" s="11" t="s">
        <v>13</v>
      </c>
      <c r="L9" s="13">
        <f t="array" ref="L9">(COUNTIF(I16:I16,"Fail"))</f>
        <v>0</v>
      </c>
      <c r="M9" s="7"/>
      <c r="N9" s="7"/>
    </row>
    <row r="10" spans="1:14" ht="12.75" customHeight="1" x14ac:dyDescent="0.25">
      <c r="A10" s="52" t="s">
        <v>14</v>
      </c>
      <c r="B10" s="54"/>
      <c r="C10" s="10"/>
      <c r="D10" s="7"/>
      <c r="E10" s="7"/>
      <c r="F10" s="7"/>
      <c r="G10" s="11" t="s">
        <v>15</v>
      </c>
      <c r="H10" s="14">
        <f t="array" ref="H10">(COUNTIF(G16:G16,"On Hold"))</f>
        <v>0</v>
      </c>
      <c r="I10" s="14">
        <f t="array" ref="I10">(COUNTIF(H16:H16,"On Hold"))</f>
        <v>0</v>
      </c>
      <c r="J10" s="7"/>
      <c r="K10" s="11" t="s">
        <v>15</v>
      </c>
      <c r="L10" s="14">
        <f t="array" ref="L10">(COUNTIF(I16:I16,"On Hold"))</f>
        <v>0</v>
      </c>
      <c r="M10" s="7"/>
      <c r="N10" s="7"/>
    </row>
    <row r="11" spans="1:14" ht="12.75" customHeight="1" x14ac:dyDescent="0.25">
      <c r="A11" s="52" t="s">
        <v>0</v>
      </c>
      <c r="B11" s="76"/>
      <c r="C11" s="7"/>
      <c r="D11" s="7"/>
      <c r="E11" s="7"/>
      <c r="F11" s="7"/>
      <c r="G11" s="11" t="s">
        <v>11</v>
      </c>
      <c r="H11" s="15">
        <v>0</v>
      </c>
      <c r="I11" s="15"/>
      <c r="J11" s="7"/>
      <c r="K11" s="11" t="s">
        <v>11</v>
      </c>
      <c r="L11" s="15"/>
      <c r="M11" s="7"/>
      <c r="N11" s="7"/>
    </row>
    <row r="12" spans="1:14" ht="12.75" customHeight="1" x14ac:dyDescent="0.25">
      <c r="A12" s="55" t="s">
        <v>1</v>
      </c>
      <c r="B12" s="54" t="s">
        <v>122</v>
      </c>
      <c r="C12" s="7"/>
      <c r="D12" s="7"/>
      <c r="E12" s="7"/>
      <c r="F12" s="7"/>
      <c r="G12" s="16" t="s">
        <v>16</v>
      </c>
      <c r="H12" s="17">
        <f t="array" ref="H12">(COUNTIF(G16:G16,"Not Applicable"))</f>
        <v>0</v>
      </c>
      <c r="I12" s="17">
        <f t="array" ref="I12">(COUNTIF(H16:H16,"Not Applicable"))</f>
        <v>0</v>
      </c>
      <c r="J12" s="7"/>
      <c r="K12" s="16" t="s">
        <v>16</v>
      </c>
      <c r="L12" s="17">
        <f t="array" ref="L12">(COUNTIF(I16:I16,"Not Applicable"))</f>
        <v>0</v>
      </c>
      <c r="M12" s="7"/>
      <c r="N12" s="7"/>
    </row>
    <row r="13" spans="1:14" ht="12.75" customHeight="1" x14ac:dyDescent="0.25">
      <c r="A13" s="56" t="s">
        <v>77</v>
      </c>
      <c r="B13" s="57"/>
      <c r="C13" s="7"/>
      <c r="D13" s="7"/>
      <c r="E13" s="7"/>
      <c r="F13" s="7"/>
      <c r="G13" s="11" t="s">
        <v>17</v>
      </c>
      <c r="H13" s="18">
        <f>SUM(H8:H12)</f>
        <v>0</v>
      </c>
      <c r="I13" s="18">
        <f>SUM(I8:I12)</f>
        <v>0</v>
      </c>
      <c r="J13" s="7"/>
      <c r="K13" s="11" t="s">
        <v>17</v>
      </c>
      <c r="L13" s="18">
        <f>SUM(L8:L12)</f>
        <v>0</v>
      </c>
      <c r="M13" s="7"/>
      <c r="N13" s="7"/>
    </row>
    <row r="14" spans="1:14" ht="12.75" customHeight="1" x14ac:dyDescent="0.25">
      <c r="A14" s="56"/>
      <c r="B14" s="5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spans="1:14" ht="25.5" customHeight="1" x14ac:dyDescent="0.25">
      <c r="A15" s="27" t="s">
        <v>18</v>
      </c>
      <c r="B15" s="27" t="s">
        <v>19</v>
      </c>
      <c r="C15" s="27" t="s">
        <v>20</v>
      </c>
      <c r="D15" s="27" t="s">
        <v>21</v>
      </c>
      <c r="E15" s="27" t="s">
        <v>22</v>
      </c>
      <c r="F15" s="27" t="s">
        <v>23</v>
      </c>
      <c r="G15" s="27" t="s">
        <v>75</v>
      </c>
      <c r="H15" s="27" t="s">
        <v>62</v>
      </c>
      <c r="I15" s="27" t="s">
        <v>63</v>
      </c>
      <c r="J15" s="27" t="s">
        <v>26</v>
      </c>
      <c r="K15" s="27" t="s">
        <v>27</v>
      </c>
      <c r="L15" s="27" t="s">
        <v>28</v>
      </c>
      <c r="M15" s="27" t="s">
        <v>42</v>
      </c>
      <c r="N15" s="27" t="s">
        <v>43</v>
      </c>
    </row>
    <row r="16" spans="1:14" s="65" customFormat="1" ht="12.75" customHeight="1" outlineLevel="1" x14ac:dyDescent="0.25">
      <c r="A16" s="159" t="s">
        <v>121</v>
      </c>
      <c r="B16" s="159"/>
      <c r="C16" s="159"/>
      <c r="D16" s="159"/>
      <c r="E16" s="159"/>
      <c r="F16" s="159"/>
      <c r="G16" s="159"/>
      <c r="H16" s="159"/>
      <c r="I16" s="159"/>
      <c r="J16" s="159"/>
      <c r="K16" s="159"/>
      <c r="L16" s="159"/>
      <c r="M16" s="159"/>
      <c r="N16" s="159"/>
    </row>
    <row r="17" spans="1:27" s="66" customFormat="1" ht="21" customHeight="1" x14ac:dyDescent="0.25">
      <c r="A17" s="75"/>
      <c r="B17" s="74"/>
      <c r="C17" s="72"/>
      <c r="D17" s="69"/>
      <c r="E17" s="73"/>
      <c r="F17" s="70"/>
      <c r="G17" s="71"/>
      <c r="H17" s="71"/>
      <c r="I17" s="71"/>
      <c r="J17" s="73"/>
      <c r="K17" s="71"/>
      <c r="L17" s="71"/>
      <c r="M17" s="71"/>
      <c r="N17" s="73"/>
    </row>
    <row r="18" spans="1:27" ht="25.5" customHeight="1" x14ac:dyDescent="0.25">
      <c r="A18" s="143" t="s">
        <v>124</v>
      </c>
      <c r="B18" s="151" t="s">
        <v>123</v>
      </c>
      <c r="C18" s="151" t="s">
        <v>89</v>
      </c>
      <c r="D18" s="96" t="s">
        <v>90</v>
      </c>
      <c r="E18" s="81"/>
      <c r="F18" s="97" t="s">
        <v>91</v>
      </c>
      <c r="G18" s="80" t="s">
        <v>85</v>
      </c>
      <c r="H18" s="80" t="s">
        <v>85</v>
      </c>
      <c r="I18" s="80" t="s">
        <v>11</v>
      </c>
      <c r="J18" s="80"/>
      <c r="K18" s="80" t="s">
        <v>29</v>
      </c>
      <c r="L18" s="80" t="s">
        <v>30</v>
      </c>
      <c r="M18" s="80" t="s">
        <v>44</v>
      </c>
      <c r="N18" s="160"/>
    </row>
    <row r="19" spans="1:27" x14ac:dyDescent="0.25">
      <c r="A19" s="144"/>
      <c r="B19" s="147"/>
      <c r="C19" s="147"/>
      <c r="D19" s="94" t="s">
        <v>92</v>
      </c>
      <c r="E19" s="83"/>
      <c r="F19" s="94" t="s">
        <v>93</v>
      </c>
      <c r="G19" s="82"/>
      <c r="H19" s="82"/>
      <c r="I19" s="82"/>
      <c r="J19" s="82"/>
      <c r="K19" s="82"/>
      <c r="L19" s="82"/>
      <c r="M19" s="82"/>
      <c r="N19" s="161"/>
    </row>
    <row r="20" spans="1:27" s="79" customFormat="1" x14ac:dyDescent="0.25">
      <c r="A20" s="144"/>
      <c r="B20" s="147"/>
      <c r="C20" s="147"/>
      <c r="D20" s="94" t="s">
        <v>94</v>
      </c>
      <c r="E20" s="83"/>
      <c r="F20" s="94" t="s">
        <v>95</v>
      </c>
      <c r="G20" s="84"/>
      <c r="H20" s="84"/>
      <c r="I20" s="84"/>
      <c r="J20" s="84"/>
      <c r="K20" s="84"/>
      <c r="L20" s="84"/>
      <c r="M20" s="84"/>
      <c r="N20" s="162"/>
    </row>
    <row r="21" spans="1:27" s="93" customFormat="1" x14ac:dyDescent="0.25">
      <c r="A21" s="144"/>
      <c r="B21" s="147"/>
      <c r="C21" s="147"/>
      <c r="D21" s="94" t="s">
        <v>96</v>
      </c>
      <c r="E21" s="83"/>
      <c r="F21" s="94" t="s">
        <v>97</v>
      </c>
      <c r="G21" s="82"/>
      <c r="H21" s="82"/>
      <c r="I21" s="82"/>
      <c r="J21" s="82"/>
      <c r="K21" s="82"/>
      <c r="L21" s="82"/>
      <c r="M21" s="82"/>
      <c r="N21" s="92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1:27" s="93" customFormat="1" x14ac:dyDescent="0.25">
      <c r="A22" s="144"/>
      <c r="B22" s="147"/>
      <c r="C22" s="147"/>
      <c r="D22" s="94" t="s">
        <v>99</v>
      </c>
      <c r="E22" s="83"/>
      <c r="F22" s="94" t="s">
        <v>98</v>
      </c>
      <c r="G22" s="82"/>
      <c r="H22" s="82"/>
      <c r="I22" s="82"/>
      <c r="J22" s="82"/>
      <c r="K22" s="82"/>
      <c r="L22" s="82"/>
      <c r="M22" s="82"/>
      <c r="N22" s="92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1:27" s="109" customFormat="1" x14ac:dyDescent="0.25">
      <c r="A23" s="144"/>
      <c r="B23" s="147"/>
      <c r="C23" s="147"/>
      <c r="D23" s="94" t="s">
        <v>103</v>
      </c>
      <c r="E23" s="83"/>
      <c r="F23" s="94" t="s">
        <v>104</v>
      </c>
      <c r="G23" s="82"/>
      <c r="H23" s="82"/>
      <c r="I23" s="82"/>
      <c r="J23" s="82"/>
      <c r="K23" s="82"/>
      <c r="L23" s="82"/>
      <c r="M23" s="82"/>
      <c r="N23" s="108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27" s="93" customFormat="1" x14ac:dyDescent="0.25">
      <c r="A24" s="144"/>
      <c r="B24" s="147"/>
      <c r="C24" s="147"/>
      <c r="D24" s="94" t="s">
        <v>100</v>
      </c>
      <c r="E24" s="83"/>
      <c r="F24" s="94" t="s">
        <v>101</v>
      </c>
      <c r="G24" s="82"/>
      <c r="H24" s="82"/>
      <c r="I24" s="82"/>
      <c r="J24" s="82"/>
      <c r="K24" s="82"/>
      <c r="L24" s="82"/>
      <c r="M24" s="82"/>
      <c r="N24" s="92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1:27" s="101" customFormat="1" x14ac:dyDescent="0.25">
      <c r="A25" s="98"/>
      <c r="B25" s="99"/>
      <c r="C25" s="99"/>
      <c r="D25" s="94" t="s">
        <v>102</v>
      </c>
      <c r="E25" s="83"/>
      <c r="F25" s="94" t="s">
        <v>105</v>
      </c>
      <c r="G25" s="82"/>
      <c r="H25" s="82"/>
      <c r="I25" s="82"/>
      <c r="J25" s="82"/>
      <c r="K25" s="82"/>
      <c r="L25" s="82"/>
      <c r="M25" s="82"/>
      <c r="N25" s="100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1:27" s="107" customFormat="1" x14ac:dyDescent="0.25">
      <c r="A26" s="104"/>
      <c r="B26" s="105"/>
      <c r="C26" s="105"/>
      <c r="D26" s="94" t="s">
        <v>125</v>
      </c>
      <c r="E26" s="83"/>
      <c r="F26" s="94" t="s">
        <v>126</v>
      </c>
      <c r="G26" s="82"/>
      <c r="H26" s="82"/>
      <c r="I26" s="82"/>
      <c r="J26" s="82"/>
      <c r="K26" s="82"/>
      <c r="L26" s="82"/>
      <c r="M26" s="82"/>
      <c r="N26" s="106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spans="1:27" s="114" customFormat="1" x14ac:dyDescent="0.25">
      <c r="A27" s="113"/>
      <c r="B27" s="110"/>
      <c r="C27" s="110"/>
      <c r="D27" s="94" t="s">
        <v>127</v>
      </c>
      <c r="E27" s="83"/>
      <c r="F27" s="94" t="s">
        <v>128</v>
      </c>
      <c r="G27" s="82"/>
      <c r="H27" s="82"/>
      <c r="I27" s="82"/>
      <c r="J27" s="82"/>
      <c r="K27" s="82"/>
      <c r="L27" s="82"/>
      <c r="M27" s="82"/>
      <c r="N27" s="111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spans="1:27" s="114" customFormat="1" x14ac:dyDescent="0.25">
      <c r="A28" s="113"/>
      <c r="B28" s="110"/>
      <c r="C28" s="110"/>
      <c r="D28" s="94" t="s">
        <v>129</v>
      </c>
      <c r="E28" s="83"/>
      <c r="F28" s="94" t="s">
        <v>130</v>
      </c>
      <c r="G28" s="82"/>
      <c r="H28" s="82"/>
      <c r="I28" s="82"/>
      <c r="J28" s="82"/>
      <c r="K28" s="82"/>
      <c r="L28" s="82"/>
      <c r="M28" s="82"/>
      <c r="N28" s="111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spans="1:27" s="127" customFormat="1" x14ac:dyDescent="0.25">
      <c r="A29" s="126"/>
      <c r="B29" s="125"/>
      <c r="C29" s="125"/>
      <c r="D29" s="94" t="s">
        <v>131</v>
      </c>
      <c r="E29" s="83"/>
      <c r="F29" s="94" t="s">
        <v>132</v>
      </c>
      <c r="G29" s="82"/>
      <c r="H29" s="82"/>
      <c r="I29" s="82"/>
      <c r="J29" s="82"/>
      <c r="K29" s="82"/>
      <c r="L29" s="82"/>
      <c r="M29" s="82"/>
      <c r="N29" s="124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spans="1:27" s="114" customFormat="1" x14ac:dyDescent="0.25">
      <c r="A30" s="113"/>
      <c r="B30" s="110"/>
      <c r="C30" s="110"/>
      <c r="D30" s="94" t="s">
        <v>110</v>
      </c>
      <c r="E30" s="83"/>
      <c r="F30" s="94" t="s">
        <v>111</v>
      </c>
      <c r="G30" s="82"/>
      <c r="H30" s="82"/>
      <c r="I30" s="82"/>
      <c r="J30" s="82"/>
      <c r="K30" s="82"/>
      <c r="L30" s="82"/>
      <c r="M30" s="82"/>
      <c r="N30" s="111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spans="1:27" s="114" customFormat="1" x14ac:dyDescent="0.25">
      <c r="A31" s="113"/>
      <c r="B31" s="110"/>
      <c r="C31" s="110"/>
      <c r="D31" s="94" t="s">
        <v>133</v>
      </c>
      <c r="E31" s="83"/>
      <c r="F31" s="94" t="s">
        <v>134</v>
      </c>
      <c r="G31" s="82"/>
      <c r="H31" s="82"/>
      <c r="I31" s="82"/>
      <c r="J31" s="82"/>
      <c r="K31" s="82"/>
      <c r="L31" s="82"/>
      <c r="M31" s="82"/>
      <c r="N31" s="111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spans="1:27" s="114" customFormat="1" x14ac:dyDescent="0.25">
      <c r="A32" s="113"/>
      <c r="B32" s="110"/>
      <c r="C32" s="110"/>
      <c r="D32" s="94" t="s">
        <v>87</v>
      </c>
      <c r="E32" s="83"/>
      <c r="F32" s="94" t="s">
        <v>135</v>
      </c>
      <c r="G32" s="82"/>
      <c r="H32" s="82"/>
      <c r="I32" s="82"/>
      <c r="J32" s="82"/>
      <c r="K32" s="82"/>
      <c r="L32" s="82"/>
      <c r="M32" s="82"/>
      <c r="N32" s="111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s="114" customFormat="1" ht="21" customHeight="1" x14ac:dyDescent="0.25">
      <c r="A33" s="75"/>
      <c r="B33" s="74"/>
      <c r="C33" s="72"/>
      <c r="D33" s="69"/>
      <c r="E33" s="73"/>
      <c r="F33" s="70"/>
      <c r="G33" s="71"/>
      <c r="H33" s="71"/>
      <c r="I33" s="71"/>
      <c r="J33" s="73"/>
      <c r="K33" s="71"/>
      <c r="L33" s="71"/>
      <c r="M33" s="71"/>
      <c r="N33" s="73"/>
    </row>
    <row r="34" spans="1:27" s="114" customFormat="1" ht="25.5" customHeight="1" x14ac:dyDescent="0.25">
      <c r="A34" s="143" t="s">
        <v>136</v>
      </c>
      <c r="B34" s="151" t="s">
        <v>138</v>
      </c>
      <c r="C34" s="151" t="s">
        <v>89</v>
      </c>
      <c r="D34" s="96" t="s">
        <v>90</v>
      </c>
      <c r="E34" s="81"/>
      <c r="F34" s="97" t="s">
        <v>91</v>
      </c>
      <c r="G34" s="80" t="s">
        <v>85</v>
      </c>
      <c r="H34" s="80" t="s">
        <v>85</v>
      </c>
      <c r="I34" s="80" t="s">
        <v>11</v>
      </c>
      <c r="J34" s="80"/>
      <c r="K34" s="80" t="s">
        <v>29</v>
      </c>
      <c r="L34" s="80" t="s">
        <v>30</v>
      </c>
      <c r="M34" s="80" t="s">
        <v>44</v>
      </c>
      <c r="N34" s="160"/>
    </row>
    <row r="35" spans="1:27" s="114" customFormat="1" x14ac:dyDescent="0.25">
      <c r="A35" s="144"/>
      <c r="B35" s="147"/>
      <c r="C35" s="147"/>
      <c r="D35" s="94" t="s">
        <v>92</v>
      </c>
      <c r="E35" s="83"/>
      <c r="F35" s="94" t="s">
        <v>93</v>
      </c>
      <c r="G35" s="82"/>
      <c r="H35" s="82"/>
      <c r="I35" s="82"/>
      <c r="J35" s="82"/>
      <c r="K35" s="82"/>
      <c r="L35" s="82"/>
      <c r="M35" s="82"/>
      <c r="N35" s="161"/>
    </row>
    <row r="36" spans="1:27" s="114" customFormat="1" x14ac:dyDescent="0.25">
      <c r="A36" s="144"/>
      <c r="B36" s="147"/>
      <c r="C36" s="147"/>
      <c r="D36" s="94" t="s">
        <v>94</v>
      </c>
      <c r="E36" s="83"/>
      <c r="F36" s="94" t="s">
        <v>95</v>
      </c>
      <c r="G36" s="84"/>
      <c r="H36" s="84"/>
      <c r="I36" s="84"/>
      <c r="J36" s="84"/>
      <c r="K36" s="84"/>
      <c r="L36" s="84"/>
      <c r="M36" s="84"/>
      <c r="N36" s="162"/>
    </row>
    <row r="37" spans="1:27" s="114" customFormat="1" x14ac:dyDescent="0.25">
      <c r="A37" s="144"/>
      <c r="B37" s="147"/>
      <c r="C37" s="147"/>
      <c r="D37" s="94" t="s">
        <v>96</v>
      </c>
      <c r="E37" s="83"/>
      <c r="F37" s="94" t="s">
        <v>97</v>
      </c>
      <c r="G37" s="82"/>
      <c r="H37" s="82"/>
      <c r="I37" s="82"/>
      <c r="J37" s="82"/>
      <c r="K37" s="82"/>
      <c r="L37" s="82"/>
      <c r="M37" s="82"/>
      <c r="N37" s="112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spans="1:27" s="114" customFormat="1" x14ac:dyDescent="0.25">
      <c r="A38" s="144"/>
      <c r="B38" s="147"/>
      <c r="C38" s="147"/>
      <c r="D38" s="94" t="s">
        <v>99</v>
      </c>
      <c r="E38" s="83"/>
      <c r="F38" s="94" t="s">
        <v>98</v>
      </c>
      <c r="G38" s="82"/>
      <c r="H38" s="82"/>
      <c r="I38" s="82"/>
      <c r="J38" s="82"/>
      <c r="K38" s="82"/>
      <c r="L38" s="82"/>
      <c r="M38" s="82"/>
      <c r="N38" s="112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spans="1:27" s="114" customFormat="1" x14ac:dyDescent="0.25">
      <c r="A39" s="144"/>
      <c r="B39" s="147"/>
      <c r="C39" s="147"/>
      <c r="D39" s="94" t="s">
        <v>103</v>
      </c>
      <c r="E39" s="83"/>
      <c r="F39" s="94" t="s">
        <v>104</v>
      </c>
      <c r="G39" s="82"/>
      <c r="H39" s="82"/>
      <c r="I39" s="82"/>
      <c r="J39" s="82"/>
      <c r="K39" s="82"/>
      <c r="L39" s="82"/>
      <c r="M39" s="82"/>
      <c r="N39" s="112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spans="1:27" s="114" customFormat="1" x14ac:dyDescent="0.25">
      <c r="A40" s="144"/>
      <c r="B40" s="147"/>
      <c r="C40" s="147"/>
      <c r="D40" s="94" t="s">
        <v>100</v>
      </c>
      <c r="E40" s="83"/>
      <c r="F40" s="94" t="s">
        <v>101</v>
      </c>
      <c r="G40" s="82"/>
      <c r="H40" s="82"/>
      <c r="I40" s="82"/>
      <c r="J40" s="82"/>
      <c r="K40" s="82"/>
      <c r="L40" s="82"/>
      <c r="M40" s="82"/>
      <c r="N40" s="112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spans="1:27" s="114" customFormat="1" x14ac:dyDescent="0.25">
      <c r="A41" s="113"/>
      <c r="B41" s="110"/>
      <c r="C41" s="110"/>
      <c r="D41" s="94" t="s">
        <v>102</v>
      </c>
      <c r="E41" s="83"/>
      <c r="F41" s="94" t="s">
        <v>105</v>
      </c>
      <c r="G41" s="82"/>
      <c r="H41" s="82"/>
      <c r="I41" s="82"/>
      <c r="J41" s="82"/>
      <c r="K41" s="82"/>
      <c r="L41" s="82"/>
      <c r="M41" s="82"/>
      <c r="N41" s="111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spans="1:27" s="114" customFormat="1" x14ac:dyDescent="0.25">
      <c r="A42" s="113"/>
      <c r="B42" s="110"/>
      <c r="C42" s="110"/>
      <c r="D42" s="94" t="s">
        <v>125</v>
      </c>
      <c r="E42" s="83"/>
      <c r="F42" s="94" t="s">
        <v>126</v>
      </c>
      <c r="G42" s="82"/>
      <c r="H42" s="82"/>
      <c r="I42" s="82"/>
      <c r="J42" s="82"/>
      <c r="K42" s="82"/>
      <c r="L42" s="82"/>
      <c r="M42" s="82"/>
      <c r="N42" s="111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spans="1:27" s="114" customFormat="1" x14ac:dyDescent="0.25">
      <c r="A43" s="113"/>
      <c r="B43" s="110"/>
      <c r="C43" s="110"/>
      <c r="D43" s="94" t="s">
        <v>127</v>
      </c>
      <c r="E43" s="83"/>
      <c r="F43" s="94" t="s">
        <v>128</v>
      </c>
      <c r="G43" s="82"/>
      <c r="H43" s="82"/>
      <c r="I43" s="82"/>
      <c r="J43" s="82"/>
      <c r="K43" s="82"/>
      <c r="L43" s="82"/>
      <c r="M43" s="82"/>
      <c r="N43" s="111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spans="1:27" s="114" customFormat="1" x14ac:dyDescent="0.25">
      <c r="A44" s="113"/>
      <c r="B44" s="110"/>
      <c r="C44" s="110"/>
      <c r="D44" s="94" t="s">
        <v>129</v>
      </c>
      <c r="E44" s="83"/>
      <c r="F44" s="94" t="s">
        <v>130</v>
      </c>
      <c r="G44" s="82"/>
      <c r="H44" s="82"/>
      <c r="I44" s="82"/>
      <c r="J44" s="82"/>
      <c r="K44" s="82"/>
      <c r="L44" s="82"/>
      <c r="M44" s="82"/>
      <c r="N44" s="111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spans="1:27" s="114" customFormat="1" x14ac:dyDescent="0.25">
      <c r="A45" s="113"/>
      <c r="B45" s="110"/>
      <c r="C45" s="110"/>
      <c r="D45" s="94" t="s">
        <v>131</v>
      </c>
      <c r="E45" s="83"/>
      <c r="F45" s="94" t="s">
        <v>132</v>
      </c>
      <c r="G45" s="82"/>
      <c r="H45" s="82"/>
      <c r="I45" s="82"/>
      <c r="J45" s="82"/>
      <c r="K45" s="82"/>
      <c r="L45" s="82"/>
      <c r="M45" s="82"/>
      <c r="N45" s="111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spans="1:27" s="114" customFormat="1" x14ac:dyDescent="0.25">
      <c r="A46" s="113"/>
      <c r="B46" s="110"/>
      <c r="C46" s="110"/>
      <c r="D46" s="94" t="s">
        <v>110</v>
      </c>
      <c r="E46" s="83"/>
      <c r="F46" s="94" t="s">
        <v>111</v>
      </c>
      <c r="G46" s="82"/>
      <c r="H46" s="82"/>
      <c r="I46" s="82"/>
      <c r="J46" s="82"/>
      <c r="K46" s="82"/>
      <c r="L46" s="82"/>
      <c r="M46" s="82"/>
      <c r="N46" s="111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spans="1:27" s="114" customFormat="1" x14ac:dyDescent="0.25">
      <c r="A47" s="113"/>
      <c r="B47" s="110"/>
      <c r="C47" s="110"/>
      <c r="D47" s="94" t="s">
        <v>133</v>
      </c>
      <c r="E47" s="83"/>
      <c r="F47" s="94" t="s">
        <v>134</v>
      </c>
      <c r="G47" s="82"/>
      <c r="H47" s="82"/>
      <c r="I47" s="82"/>
      <c r="J47" s="82"/>
      <c r="K47" s="82"/>
      <c r="L47" s="82"/>
      <c r="M47" s="82"/>
      <c r="N47" s="111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spans="1:27" s="127" customFormat="1" x14ac:dyDescent="0.25">
      <c r="A48" s="126"/>
      <c r="B48" s="125"/>
      <c r="C48" s="125"/>
      <c r="D48" s="94" t="s">
        <v>115</v>
      </c>
      <c r="E48" s="83"/>
      <c r="F48" s="94" t="s">
        <v>139</v>
      </c>
      <c r="G48" s="82"/>
      <c r="H48" s="82"/>
      <c r="I48" s="82"/>
      <c r="J48" s="82"/>
      <c r="K48" s="82"/>
      <c r="L48" s="82"/>
      <c r="M48" s="82"/>
      <c r="N48" s="124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spans="1:27" s="119" customFormat="1" ht="21" customHeight="1" x14ac:dyDescent="0.25">
      <c r="A49" s="75"/>
      <c r="B49" s="74"/>
      <c r="C49" s="72"/>
      <c r="D49" s="69"/>
      <c r="E49" s="73"/>
      <c r="F49" s="70"/>
      <c r="G49" s="71"/>
      <c r="H49" s="71"/>
      <c r="I49" s="71"/>
      <c r="J49" s="73"/>
      <c r="K49" s="71"/>
      <c r="L49" s="71"/>
      <c r="M49" s="71"/>
      <c r="N49" s="73"/>
    </row>
    <row r="50" spans="1:27" s="119" customFormat="1" ht="25.5" customHeight="1" x14ac:dyDescent="0.25">
      <c r="A50" s="143" t="s">
        <v>140</v>
      </c>
      <c r="B50" s="151" t="s">
        <v>141</v>
      </c>
      <c r="C50" s="151" t="s">
        <v>89</v>
      </c>
      <c r="D50" s="96" t="s">
        <v>90</v>
      </c>
      <c r="E50" s="81"/>
      <c r="F50" s="97" t="s">
        <v>91</v>
      </c>
      <c r="G50" s="80" t="s">
        <v>85</v>
      </c>
      <c r="H50" s="80" t="s">
        <v>85</v>
      </c>
      <c r="I50" s="80" t="s">
        <v>11</v>
      </c>
      <c r="J50" s="80"/>
      <c r="K50" s="80" t="s">
        <v>29</v>
      </c>
      <c r="L50" s="80" t="s">
        <v>30</v>
      </c>
      <c r="M50" s="80" t="s">
        <v>44</v>
      </c>
      <c r="N50" s="160"/>
    </row>
    <row r="51" spans="1:27" s="119" customFormat="1" x14ac:dyDescent="0.25">
      <c r="A51" s="144"/>
      <c r="B51" s="147"/>
      <c r="C51" s="147"/>
      <c r="D51" s="94" t="s">
        <v>92</v>
      </c>
      <c r="E51" s="83"/>
      <c r="F51" s="94" t="s">
        <v>93</v>
      </c>
      <c r="G51" s="82"/>
      <c r="H51" s="82"/>
      <c r="I51" s="82"/>
      <c r="J51" s="82"/>
      <c r="K51" s="82"/>
      <c r="L51" s="82"/>
      <c r="M51" s="82"/>
      <c r="N51" s="161"/>
    </row>
    <row r="52" spans="1:27" s="119" customFormat="1" x14ac:dyDescent="0.25">
      <c r="A52" s="144"/>
      <c r="B52" s="147"/>
      <c r="C52" s="147"/>
      <c r="D52" s="94" t="s">
        <v>94</v>
      </c>
      <c r="E52" s="83"/>
      <c r="F52" s="94" t="s">
        <v>95</v>
      </c>
      <c r="G52" s="84"/>
      <c r="H52" s="84"/>
      <c r="I52" s="84"/>
      <c r="J52" s="84"/>
      <c r="K52" s="84"/>
      <c r="L52" s="84"/>
      <c r="M52" s="84"/>
      <c r="N52" s="162"/>
    </row>
    <row r="53" spans="1:27" s="119" customFormat="1" x14ac:dyDescent="0.25">
      <c r="A53" s="144"/>
      <c r="B53" s="147"/>
      <c r="C53" s="147"/>
      <c r="D53" s="94" t="s">
        <v>96</v>
      </c>
      <c r="E53" s="83"/>
      <c r="F53" s="94" t="s">
        <v>97</v>
      </c>
      <c r="G53" s="82"/>
      <c r="H53" s="82"/>
      <c r="I53" s="82"/>
      <c r="J53" s="82"/>
      <c r="K53" s="82"/>
      <c r="L53" s="82"/>
      <c r="M53" s="82"/>
      <c r="N53" s="116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spans="1:27" s="119" customFormat="1" x14ac:dyDescent="0.25">
      <c r="A54" s="144"/>
      <c r="B54" s="147"/>
      <c r="C54" s="147"/>
      <c r="D54" s="94" t="s">
        <v>99</v>
      </c>
      <c r="E54" s="83"/>
      <c r="F54" s="94" t="s">
        <v>98</v>
      </c>
      <c r="G54" s="82"/>
      <c r="H54" s="82"/>
      <c r="I54" s="82"/>
      <c r="J54" s="82"/>
      <c r="K54" s="82"/>
      <c r="L54" s="82"/>
      <c r="M54" s="82"/>
      <c r="N54" s="116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spans="1:27" s="119" customFormat="1" x14ac:dyDescent="0.25">
      <c r="A55" s="144"/>
      <c r="B55" s="147"/>
      <c r="C55" s="147"/>
      <c r="D55" s="94" t="s">
        <v>103</v>
      </c>
      <c r="E55" s="83"/>
      <c r="F55" s="94" t="s">
        <v>104</v>
      </c>
      <c r="G55" s="82"/>
      <c r="H55" s="82"/>
      <c r="I55" s="82"/>
      <c r="J55" s="82"/>
      <c r="K55" s="82"/>
      <c r="L55" s="82"/>
      <c r="M55" s="82"/>
      <c r="N55" s="116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spans="1:27" s="119" customFormat="1" x14ac:dyDescent="0.25">
      <c r="A56" s="144"/>
      <c r="B56" s="147"/>
      <c r="C56" s="147"/>
      <c r="D56" s="94" t="s">
        <v>100</v>
      </c>
      <c r="E56" s="83"/>
      <c r="F56" s="94" t="s">
        <v>101</v>
      </c>
      <c r="G56" s="82"/>
      <c r="H56" s="82"/>
      <c r="I56" s="82"/>
      <c r="J56" s="82"/>
      <c r="K56" s="82"/>
      <c r="L56" s="82"/>
      <c r="M56" s="82"/>
      <c r="N56" s="116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spans="1:27" s="119" customFormat="1" x14ac:dyDescent="0.25">
      <c r="A57" s="117"/>
      <c r="B57" s="118"/>
      <c r="C57" s="118"/>
      <c r="D57" s="94" t="s">
        <v>102</v>
      </c>
      <c r="E57" s="83"/>
      <c r="F57" s="94" t="s">
        <v>105</v>
      </c>
      <c r="G57" s="82"/>
      <c r="H57" s="82"/>
      <c r="I57" s="82"/>
      <c r="J57" s="82"/>
      <c r="K57" s="82"/>
      <c r="L57" s="82"/>
      <c r="M57" s="82"/>
      <c r="N57" s="115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spans="1:27" s="119" customFormat="1" x14ac:dyDescent="0.25">
      <c r="A58" s="117"/>
      <c r="B58" s="118"/>
      <c r="C58" s="118"/>
      <c r="D58" s="94" t="s">
        <v>131</v>
      </c>
      <c r="E58" s="83"/>
      <c r="F58" s="94" t="s">
        <v>120</v>
      </c>
      <c r="G58" s="82"/>
      <c r="H58" s="82"/>
      <c r="I58" s="82"/>
      <c r="J58" s="82"/>
      <c r="K58" s="82"/>
      <c r="L58" s="82"/>
      <c r="M58" s="82"/>
      <c r="N58" s="115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spans="1:27" s="119" customFormat="1" x14ac:dyDescent="0.25">
      <c r="A59" s="117"/>
      <c r="B59" s="118"/>
      <c r="C59" s="118"/>
      <c r="D59" s="94" t="s">
        <v>106</v>
      </c>
      <c r="E59" s="83"/>
      <c r="F59" s="94" t="s">
        <v>107</v>
      </c>
      <c r="G59" s="82"/>
      <c r="H59" s="82"/>
      <c r="I59" s="82"/>
      <c r="J59" s="82"/>
      <c r="K59" s="82"/>
      <c r="L59" s="82"/>
      <c r="M59" s="82"/>
      <c r="N59" s="115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spans="1:27" s="119" customFormat="1" x14ac:dyDescent="0.25">
      <c r="A60" s="117"/>
      <c r="B60" s="118"/>
      <c r="C60" s="118"/>
      <c r="D60" s="94" t="s">
        <v>108</v>
      </c>
      <c r="E60" s="83"/>
      <c r="F60" s="94" t="s">
        <v>109</v>
      </c>
      <c r="G60" s="82"/>
      <c r="H60" s="82"/>
      <c r="I60" s="82"/>
      <c r="J60" s="82"/>
      <c r="K60" s="82"/>
      <c r="L60" s="82"/>
      <c r="M60" s="82"/>
      <c r="N60" s="115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spans="1:27" s="119" customFormat="1" x14ac:dyDescent="0.25">
      <c r="A61" s="117"/>
      <c r="B61" s="118"/>
      <c r="C61" s="118"/>
      <c r="D61" s="94" t="s">
        <v>110</v>
      </c>
      <c r="E61" s="83"/>
      <c r="F61" s="94" t="s">
        <v>111</v>
      </c>
      <c r="G61" s="82"/>
      <c r="H61" s="82"/>
      <c r="I61" s="82"/>
      <c r="J61" s="82"/>
      <c r="K61" s="82"/>
      <c r="L61" s="82"/>
      <c r="M61" s="82"/>
      <c r="N61" s="115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spans="1:27" s="119" customFormat="1" x14ac:dyDescent="0.25">
      <c r="A62" s="117"/>
      <c r="B62" s="118"/>
      <c r="C62" s="118"/>
      <c r="D62" s="94" t="s">
        <v>133</v>
      </c>
      <c r="E62" s="83"/>
      <c r="F62" s="94" t="s">
        <v>134</v>
      </c>
      <c r="G62" s="82"/>
      <c r="H62" s="82"/>
      <c r="I62" s="82"/>
      <c r="J62" s="82"/>
      <c r="K62" s="82"/>
      <c r="L62" s="82"/>
      <c r="M62" s="82"/>
      <c r="N62" s="115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spans="1:27" s="119" customFormat="1" x14ac:dyDescent="0.25">
      <c r="A63" s="117"/>
      <c r="B63" s="118"/>
      <c r="C63" s="118"/>
      <c r="D63" s="94" t="s">
        <v>87</v>
      </c>
      <c r="E63" s="83"/>
      <c r="F63" s="94" t="s">
        <v>135</v>
      </c>
      <c r="G63" s="82"/>
      <c r="H63" s="82"/>
      <c r="I63" s="82"/>
      <c r="J63" s="82"/>
      <c r="K63" s="82"/>
      <c r="L63" s="82"/>
      <c r="M63" s="82"/>
      <c r="N63" s="115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spans="1:27" s="91" customFormat="1" ht="21" customHeight="1" x14ac:dyDescent="0.25">
      <c r="A64" s="75"/>
      <c r="B64" s="74"/>
      <c r="C64" s="72"/>
      <c r="D64" s="69"/>
      <c r="E64" s="73"/>
      <c r="F64" s="70"/>
      <c r="G64" s="71"/>
      <c r="H64" s="71"/>
      <c r="I64" s="71"/>
      <c r="J64" s="73"/>
      <c r="K64" s="71"/>
      <c r="L64" s="71"/>
      <c r="M64" s="71"/>
      <c r="N64" s="73"/>
    </row>
    <row r="65" spans="1:14" s="91" customFormat="1" ht="25.5" customHeight="1" x14ac:dyDescent="0.25">
      <c r="A65" s="166" t="s">
        <v>142</v>
      </c>
      <c r="B65" s="151" t="s">
        <v>137</v>
      </c>
      <c r="C65" s="163" t="s">
        <v>89</v>
      </c>
      <c r="D65" s="96" t="s">
        <v>90</v>
      </c>
      <c r="E65" s="81"/>
      <c r="F65" s="97" t="s">
        <v>91</v>
      </c>
      <c r="G65" s="80" t="s">
        <v>85</v>
      </c>
      <c r="H65" s="143" t="s">
        <v>85</v>
      </c>
      <c r="I65" s="164" t="s">
        <v>11</v>
      </c>
      <c r="J65" s="143"/>
      <c r="K65" s="143" t="s">
        <v>29</v>
      </c>
      <c r="L65" s="143" t="s">
        <v>30</v>
      </c>
      <c r="M65" s="80" t="s">
        <v>44</v>
      </c>
      <c r="N65" s="160"/>
    </row>
    <row r="66" spans="1:14" s="91" customFormat="1" x14ac:dyDescent="0.25">
      <c r="A66" s="145"/>
      <c r="B66" s="147"/>
      <c r="C66" s="149"/>
      <c r="D66" s="94" t="s">
        <v>92</v>
      </c>
      <c r="E66" s="83"/>
      <c r="F66" s="94" t="s">
        <v>93</v>
      </c>
      <c r="G66" s="82"/>
      <c r="H66" s="144"/>
      <c r="I66" s="165"/>
      <c r="J66" s="144"/>
      <c r="K66" s="144"/>
      <c r="L66" s="144"/>
      <c r="M66" s="82"/>
      <c r="N66" s="161"/>
    </row>
    <row r="67" spans="1:14" s="91" customFormat="1" x14ac:dyDescent="0.25">
      <c r="A67" s="145"/>
      <c r="B67" s="147"/>
      <c r="C67" s="149"/>
      <c r="D67" s="94" t="s">
        <v>94</v>
      </c>
      <c r="E67" s="83"/>
      <c r="F67" s="94" t="s">
        <v>95</v>
      </c>
      <c r="G67" s="82"/>
      <c r="H67" s="144"/>
      <c r="I67" s="165"/>
      <c r="J67" s="144"/>
      <c r="K67" s="144"/>
      <c r="L67" s="144"/>
      <c r="M67" s="82"/>
      <c r="N67" s="161"/>
    </row>
    <row r="68" spans="1:14" s="95" customFormat="1" x14ac:dyDescent="0.25">
      <c r="A68" s="145"/>
      <c r="B68" s="147"/>
      <c r="C68" s="149"/>
      <c r="D68" s="94" t="s">
        <v>96</v>
      </c>
      <c r="E68" s="83"/>
      <c r="F68" s="94" t="s">
        <v>97</v>
      </c>
      <c r="G68" s="82"/>
      <c r="H68" s="144"/>
      <c r="I68" s="165"/>
      <c r="J68" s="144"/>
      <c r="K68" s="144"/>
      <c r="L68" s="144"/>
      <c r="M68" s="82"/>
      <c r="N68" s="161"/>
    </row>
    <row r="69" spans="1:14" s="95" customFormat="1" x14ac:dyDescent="0.25">
      <c r="A69" s="145"/>
      <c r="B69" s="147"/>
      <c r="C69" s="149"/>
      <c r="D69" s="94" t="s">
        <v>99</v>
      </c>
      <c r="E69" s="83"/>
      <c r="F69" s="94" t="s">
        <v>98</v>
      </c>
      <c r="G69" s="82"/>
      <c r="H69" s="144"/>
      <c r="I69" s="165"/>
      <c r="J69" s="144"/>
      <c r="K69" s="144"/>
      <c r="L69" s="144"/>
      <c r="M69" s="82"/>
      <c r="N69" s="161"/>
    </row>
    <row r="70" spans="1:14" s="95" customFormat="1" x14ac:dyDescent="0.25">
      <c r="A70" s="145"/>
      <c r="B70" s="147"/>
      <c r="C70" s="149"/>
      <c r="D70" s="94" t="s">
        <v>103</v>
      </c>
      <c r="E70" s="83"/>
      <c r="F70" s="94" t="s">
        <v>104</v>
      </c>
      <c r="G70" s="82"/>
      <c r="H70" s="144"/>
      <c r="I70" s="165"/>
      <c r="J70" s="144"/>
      <c r="K70" s="144"/>
      <c r="L70" s="144"/>
      <c r="M70" s="82"/>
      <c r="N70" s="161"/>
    </row>
    <row r="71" spans="1:14" ht="12.75" customHeight="1" x14ac:dyDescent="0.25">
      <c r="A71" s="145"/>
      <c r="B71" s="147"/>
      <c r="C71" s="149"/>
      <c r="D71" s="94" t="s">
        <v>100</v>
      </c>
      <c r="E71" s="83"/>
      <c r="F71" s="94" t="s">
        <v>101</v>
      </c>
      <c r="G71" s="82"/>
      <c r="H71" s="144"/>
      <c r="I71" s="165"/>
      <c r="J71" s="144"/>
      <c r="K71" s="144"/>
      <c r="L71" s="144"/>
      <c r="M71" s="82"/>
      <c r="N71" s="161"/>
    </row>
    <row r="72" spans="1:14" s="103" customFormat="1" ht="12.75" customHeight="1" x14ac:dyDescent="0.25">
      <c r="A72" s="145"/>
      <c r="B72" s="147"/>
      <c r="C72" s="149"/>
      <c r="D72" s="94" t="s">
        <v>102</v>
      </c>
      <c r="E72" s="83"/>
      <c r="F72" s="94" t="s">
        <v>105</v>
      </c>
      <c r="G72" s="82"/>
      <c r="H72" s="144"/>
      <c r="I72" s="165"/>
      <c r="J72" s="144"/>
      <c r="K72" s="144"/>
      <c r="L72" s="144"/>
      <c r="M72" s="82"/>
      <c r="N72" s="161"/>
    </row>
    <row r="73" spans="1:14" s="103" customFormat="1" ht="12.75" customHeight="1" x14ac:dyDescent="0.25">
      <c r="A73" s="145"/>
      <c r="B73" s="147"/>
      <c r="C73" s="149"/>
      <c r="D73" s="94" t="s">
        <v>125</v>
      </c>
      <c r="E73" s="83"/>
      <c r="F73" s="94" t="s">
        <v>126</v>
      </c>
      <c r="G73" s="82"/>
      <c r="H73" s="144"/>
      <c r="I73" s="165"/>
      <c r="J73" s="144"/>
      <c r="K73" s="144"/>
      <c r="L73" s="144"/>
      <c r="M73" s="82"/>
      <c r="N73" s="161"/>
    </row>
    <row r="74" spans="1:14" ht="12.75" customHeight="1" x14ac:dyDescent="0.25">
      <c r="A74" s="145"/>
      <c r="B74" s="147"/>
      <c r="C74" s="149"/>
      <c r="D74" s="94" t="s">
        <v>106</v>
      </c>
      <c r="E74" s="83"/>
      <c r="F74" s="94" t="s">
        <v>107</v>
      </c>
      <c r="G74" s="120"/>
      <c r="H74" s="120"/>
      <c r="I74" s="120"/>
      <c r="J74" s="120"/>
      <c r="K74" s="120"/>
      <c r="L74" s="120"/>
      <c r="M74" s="120"/>
      <c r="N74" s="120"/>
    </row>
    <row r="75" spans="1:14" ht="12.75" customHeight="1" x14ac:dyDescent="0.25">
      <c r="A75" s="145"/>
      <c r="B75" s="147"/>
      <c r="C75" s="149"/>
      <c r="D75" s="94" t="s">
        <v>108</v>
      </c>
      <c r="E75" s="83"/>
      <c r="F75" s="94" t="s">
        <v>109</v>
      </c>
      <c r="G75" s="120"/>
      <c r="H75" s="120"/>
      <c r="I75" s="120"/>
      <c r="J75" s="120"/>
      <c r="K75" s="120"/>
      <c r="L75" s="120"/>
      <c r="M75" s="120"/>
      <c r="N75" s="120"/>
    </row>
    <row r="76" spans="1:14" ht="12.75" customHeight="1" x14ac:dyDescent="0.25">
      <c r="A76" s="145"/>
      <c r="B76" s="147"/>
      <c r="C76" s="149"/>
      <c r="D76" s="94" t="s">
        <v>143</v>
      </c>
      <c r="E76" s="83"/>
      <c r="F76" s="94" t="s">
        <v>144</v>
      </c>
      <c r="G76" s="120"/>
      <c r="H76" s="120"/>
      <c r="I76" s="120"/>
      <c r="J76" s="120"/>
      <c r="K76" s="120"/>
      <c r="L76" s="120"/>
      <c r="M76" s="120"/>
      <c r="N76" s="120"/>
    </row>
    <row r="77" spans="1:14" ht="12.75" customHeight="1" x14ac:dyDescent="0.25">
      <c r="A77" s="145"/>
      <c r="B77" s="147"/>
      <c r="C77" s="149"/>
      <c r="D77" s="94" t="s">
        <v>112</v>
      </c>
      <c r="E77" s="83"/>
      <c r="F77" s="94" t="s">
        <v>113</v>
      </c>
      <c r="G77" s="120"/>
      <c r="H77" s="120"/>
      <c r="I77" s="120"/>
      <c r="J77" s="120"/>
      <c r="K77" s="120"/>
      <c r="L77" s="120"/>
      <c r="M77" s="120"/>
      <c r="N77" s="120"/>
    </row>
    <row r="78" spans="1:14" ht="15" customHeight="1" x14ac:dyDescent="0.25">
      <c r="A78" s="146"/>
      <c r="B78" s="148"/>
      <c r="C78" s="150"/>
      <c r="D78" s="94" t="s">
        <v>87</v>
      </c>
      <c r="E78" s="83"/>
      <c r="F78" s="94" t="s">
        <v>114</v>
      </c>
      <c r="G78" s="120"/>
      <c r="H78" s="120"/>
      <c r="I78" s="120"/>
      <c r="J78" s="120"/>
      <c r="K78" s="120"/>
      <c r="L78" s="120"/>
      <c r="M78" s="120"/>
      <c r="N78" s="120"/>
    </row>
    <row r="79" spans="1:14" s="114" customFormat="1" ht="21" customHeight="1" x14ac:dyDescent="0.25">
      <c r="A79" s="75"/>
      <c r="B79" s="74"/>
      <c r="C79" s="72"/>
      <c r="D79" s="69"/>
      <c r="E79" s="73"/>
      <c r="F79" s="70"/>
      <c r="G79" s="71"/>
      <c r="H79" s="71"/>
      <c r="I79" s="71"/>
      <c r="J79" s="73"/>
      <c r="K79" s="71"/>
      <c r="L79" s="71"/>
      <c r="M79" s="71"/>
      <c r="N79" s="73"/>
    </row>
    <row r="80" spans="1:14" s="114" customFormat="1" ht="12.75" customHeight="1" x14ac:dyDescent="0.25">
      <c r="A80" s="145" t="s">
        <v>145</v>
      </c>
      <c r="B80" s="147" t="s">
        <v>146</v>
      </c>
      <c r="C80" s="149" t="s">
        <v>89</v>
      </c>
      <c r="D80" s="94" t="s">
        <v>125</v>
      </c>
      <c r="E80" s="83"/>
      <c r="F80" s="94" t="s">
        <v>147</v>
      </c>
      <c r="G80" s="82"/>
      <c r="H80" s="82"/>
      <c r="I80" s="121"/>
      <c r="J80" s="82"/>
      <c r="K80" s="82"/>
      <c r="L80" s="82"/>
      <c r="M80" s="82"/>
      <c r="N80" s="122"/>
    </row>
    <row r="81" spans="1:14" s="114" customFormat="1" ht="15" customHeight="1" x14ac:dyDescent="0.25">
      <c r="A81" s="146"/>
      <c r="B81" s="148"/>
      <c r="C81" s="150"/>
      <c r="D81" s="94" t="s">
        <v>115</v>
      </c>
      <c r="E81" s="102"/>
      <c r="F81" s="94" t="s">
        <v>116</v>
      </c>
      <c r="G81" s="84"/>
      <c r="H81" s="84"/>
      <c r="I81" s="84"/>
      <c r="J81" s="84"/>
      <c r="K81" s="84"/>
      <c r="L81" s="84"/>
      <c r="M81" s="84"/>
      <c r="N81" s="123"/>
    </row>
    <row r="82" spans="1:14" s="119" customFormat="1" ht="21" customHeight="1" x14ac:dyDescent="0.25">
      <c r="A82" s="75"/>
      <c r="B82" s="74"/>
      <c r="C82" s="72"/>
      <c r="D82" s="69"/>
      <c r="E82" s="73"/>
      <c r="F82" s="70"/>
      <c r="G82" s="71"/>
      <c r="H82" s="71"/>
      <c r="I82" s="71"/>
      <c r="J82" s="73"/>
      <c r="K82" s="71"/>
      <c r="L82" s="71"/>
      <c r="M82" s="71"/>
      <c r="N82" s="73"/>
    </row>
    <row r="83" spans="1:14" s="119" customFormat="1" ht="12.75" customHeight="1" x14ac:dyDescent="0.25">
      <c r="A83" s="145" t="s">
        <v>158</v>
      </c>
      <c r="B83" s="147" t="s">
        <v>148</v>
      </c>
      <c r="C83" s="149" t="s">
        <v>89</v>
      </c>
      <c r="D83" s="94" t="s">
        <v>129</v>
      </c>
      <c r="E83" s="83"/>
      <c r="F83" s="94" t="s">
        <v>153</v>
      </c>
      <c r="G83" s="82"/>
      <c r="H83" s="82"/>
      <c r="I83" s="121"/>
      <c r="J83" s="82"/>
      <c r="K83" s="82"/>
      <c r="L83" s="82"/>
      <c r="M83" s="82"/>
      <c r="N83" s="122"/>
    </row>
    <row r="84" spans="1:14" s="119" customFormat="1" ht="15" customHeight="1" x14ac:dyDescent="0.25">
      <c r="A84" s="146"/>
      <c r="B84" s="148"/>
      <c r="C84" s="150"/>
      <c r="D84" s="94" t="s">
        <v>115</v>
      </c>
      <c r="E84" s="102"/>
      <c r="F84" s="94" t="s">
        <v>117</v>
      </c>
      <c r="G84" s="84"/>
      <c r="H84" s="84"/>
      <c r="I84" s="84"/>
      <c r="J84" s="84"/>
      <c r="K84" s="84"/>
      <c r="L84" s="84"/>
      <c r="M84" s="84"/>
      <c r="N84" s="123"/>
    </row>
    <row r="85" spans="1:14" s="119" customFormat="1" ht="21" customHeight="1" x14ac:dyDescent="0.25">
      <c r="A85" s="75"/>
      <c r="B85" s="74"/>
      <c r="C85" s="72"/>
      <c r="D85" s="69"/>
      <c r="E85" s="73"/>
      <c r="F85" s="70"/>
      <c r="G85" s="71"/>
      <c r="H85" s="71"/>
      <c r="I85" s="71"/>
      <c r="J85" s="73"/>
      <c r="K85" s="71"/>
      <c r="L85" s="71"/>
      <c r="M85" s="71"/>
      <c r="N85" s="73"/>
    </row>
    <row r="86" spans="1:14" s="119" customFormat="1" ht="12.75" customHeight="1" x14ac:dyDescent="0.25">
      <c r="A86" s="145" t="s">
        <v>159</v>
      </c>
      <c r="B86" s="147" t="s">
        <v>149</v>
      </c>
      <c r="C86" s="149" t="s">
        <v>89</v>
      </c>
      <c r="D86" s="94" t="s">
        <v>129</v>
      </c>
      <c r="E86" s="83"/>
      <c r="F86" s="94" t="s">
        <v>154</v>
      </c>
      <c r="G86" s="82"/>
      <c r="H86" s="82"/>
      <c r="I86" s="121"/>
      <c r="J86" s="82"/>
      <c r="K86" s="82"/>
      <c r="L86" s="82"/>
      <c r="M86" s="82"/>
      <c r="N86" s="122"/>
    </row>
    <row r="87" spans="1:14" s="119" customFormat="1" ht="15" customHeight="1" x14ac:dyDescent="0.25">
      <c r="A87" s="146"/>
      <c r="B87" s="148"/>
      <c r="C87" s="150"/>
      <c r="D87" s="94" t="s">
        <v>115</v>
      </c>
      <c r="E87" s="102"/>
      <c r="F87" s="94" t="s">
        <v>117</v>
      </c>
      <c r="G87" s="84"/>
      <c r="H87" s="84"/>
      <c r="I87" s="84"/>
      <c r="J87" s="84"/>
      <c r="K87" s="84"/>
      <c r="L87" s="84"/>
      <c r="M87" s="84"/>
      <c r="N87" s="123"/>
    </row>
    <row r="88" spans="1:14" s="119" customFormat="1" ht="21" customHeight="1" x14ac:dyDescent="0.25">
      <c r="A88" s="75"/>
      <c r="B88" s="74"/>
      <c r="C88" s="72"/>
      <c r="D88" s="69"/>
      <c r="E88" s="73"/>
      <c r="F88" s="70"/>
      <c r="G88" s="71"/>
      <c r="H88" s="71"/>
      <c r="I88" s="71"/>
      <c r="J88" s="73"/>
      <c r="K88" s="71"/>
      <c r="L88" s="71"/>
      <c r="M88" s="71"/>
      <c r="N88" s="73"/>
    </row>
    <row r="89" spans="1:14" s="119" customFormat="1" ht="12.75" customHeight="1" x14ac:dyDescent="0.25">
      <c r="A89" s="145" t="s">
        <v>160</v>
      </c>
      <c r="B89" s="147" t="s">
        <v>150</v>
      </c>
      <c r="C89" s="149" t="s">
        <v>89</v>
      </c>
      <c r="D89" s="94" t="s">
        <v>125</v>
      </c>
      <c r="E89" s="83"/>
      <c r="F89" s="94" t="s">
        <v>155</v>
      </c>
      <c r="G89" s="82"/>
      <c r="H89" s="82"/>
      <c r="I89" s="121"/>
      <c r="J89" s="82"/>
      <c r="K89" s="82"/>
      <c r="L89" s="82"/>
      <c r="M89" s="82"/>
      <c r="N89" s="122"/>
    </row>
    <row r="90" spans="1:14" s="119" customFormat="1" ht="15" customHeight="1" x14ac:dyDescent="0.25">
      <c r="A90" s="146"/>
      <c r="B90" s="148"/>
      <c r="C90" s="150"/>
      <c r="D90" s="94" t="s">
        <v>115</v>
      </c>
      <c r="E90" s="102"/>
      <c r="F90" s="94" t="s">
        <v>118</v>
      </c>
      <c r="G90" s="84"/>
      <c r="H90" s="84"/>
      <c r="I90" s="84"/>
      <c r="J90" s="84"/>
      <c r="K90" s="84"/>
      <c r="L90" s="84"/>
      <c r="M90" s="84"/>
      <c r="N90" s="123"/>
    </row>
    <row r="91" spans="1:14" s="119" customFormat="1" ht="21" customHeight="1" x14ac:dyDescent="0.25">
      <c r="A91" s="75"/>
      <c r="B91" s="74"/>
      <c r="C91" s="72"/>
      <c r="D91" s="69"/>
      <c r="E91" s="73"/>
      <c r="F91" s="70"/>
      <c r="G91" s="71"/>
      <c r="H91" s="71"/>
      <c r="I91" s="71"/>
      <c r="J91" s="73"/>
      <c r="K91" s="71"/>
      <c r="L91" s="71"/>
      <c r="M91" s="71"/>
      <c r="N91" s="73"/>
    </row>
    <row r="92" spans="1:14" s="119" customFormat="1" ht="12.75" customHeight="1" x14ac:dyDescent="0.25">
      <c r="A92" s="145" t="s">
        <v>161</v>
      </c>
      <c r="B92" s="147" t="s">
        <v>151</v>
      </c>
      <c r="C92" s="149" t="s">
        <v>89</v>
      </c>
      <c r="D92" s="94" t="s">
        <v>125</v>
      </c>
      <c r="E92" s="83"/>
      <c r="F92" s="94" t="s">
        <v>156</v>
      </c>
      <c r="G92" s="82"/>
      <c r="H92" s="82"/>
      <c r="I92" s="121"/>
      <c r="J92" s="82"/>
      <c r="K92" s="82"/>
      <c r="L92" s="82"/>
      <c r="M92" s="82"/>
      <c r="N92" s="122"/>
    </row>
    <row r="93" spans="1:14" s="119" customFormat="1" ht="15" customHeight="1" x14ac:dyDescent="0.25">
      <c r="A93" s="146"/>
      <c r="B93" s="148"/>
      <c r="C93" s="150"/>
      <c r="D93" s="94" t="s">
        <v>115</v>
      </c>
      <c r="E93" s="102"/>
      <c r="F93" s="94" t="s">
        <v>119</v>
      </c>
      <c r="G93" s="84"/>
      <c r="H93" s="84"/>
      <c r="I93" s="84"/>
      <c r="J93" s="84"/>
      <c r="K93" s="84"/>
      <c r="L93" s="84"/>
      <c r="M93" s="84"/>
      <c r="N93" s="123"/>
    </row>
    <row r="94" spans="1:14" s="119" customFormat="1" ht="21" customHeight="1" x14ac:dyDescent="0.25">
      <c r="A94" s="75"/>
      <c r="B94" s="74"/>
      <c r="C94" s="72"/>
      <c r="D94" s="69"/>
      <c r="E94" s="73"/>
      <c r="F94" s="70"/>
      <c r="G94" s="71"/>
      <c r="H94" s="71"/>
      <c r="I94" s="71"/>
      <c r="J94" s="73"/>
      <c r="K94" s="71"/>
      <c r="L94" s="71"/>
      <c r="M94" s="71"/>
      <c r="N94" s="73"/>
    </row>
    <row r="95" spans="1:14" s="119" customFormat="1" ht="12.75" customHeight="1" x14ac:dyDescent="0.25">
      <c r="A95" s="145" t="s">
        <v>162</v>
      </c>
      <c r="B95" s="147" t="s">
        <v>152</v>
      </c>
      <c r="C95" s="149" t="s">
        <v>89</v>
      </c>
      <c r="D95" s="94" t="s">
        <v>125</v>
      </c>
      <c r="E95" s="83"/>
      <c r="F95" s="94" t="s">
        <v>157</v>
      </c>
      <c r="G95" s="82"/>
      <c r="H95" s="82"/>
      <c r="I95" s="121"/>
      <c r="J95" s="82"/>
      <c r="K95" s="82"/>
      <c r="L95" s="82"/>
      <c r="M95" s="82"/>
      <c r="N95" s="122"/>
    </row>
    <row r="96" spans="1:14" s="119" customFormat="1" ht="15" customHeight="1" x14ac:dyDescent="0.25">
      <c r="A96" s="146"/>
      <c r="B96" s="148"/>
      <c r="C96" s="150"/>
      <c r="D96" s="94" t="s">
        <v>115</v>
      </c>
      <c r="E96" s="102"/>
      <c r="F96" s="94" t="s">
        <v>119</v>
      </c>
      <c r="G96" s="84"/>
      <c r="H96" s="84"/>
      <c r="I96" s="84"/>
      <c r="J96" s="84"/>
      <c r="K96" s="84"/>
      <c r="L96" s="84"/>
      <c r="M96" s="84"/>
      <c r="N96" s="123"/>
    </row>
  </sheetData>
  <mergeCells count="45">
    <mergeCell ref="C80:C81"/>
    <mergeCell ref="A34:A40"/>
    <mergeCell ref="B34:B40"/>
    <mergeCell ref="C34:C40"/>
    <mergeCell ref="N65:N73"/>
    <mergeCell ref="C65:C78"/>
    <mergeCell ref="B65:B78"/>
    <mergeCell ref="H65:H73"/>
    <mergeCell ref="I65:I73"/>
    <mergeCell ref="J65:J73"/>
    <mergeCell ref="N50:N52"/>
    <mergeCell ref="A65:A78"/>
    <mergeCell ref="K65:K73"/>
    <mergeCell ref="A92:A93"/>
    <mergeCell ref="B92:B93"/>
    <mergeCell ref="C92:C93"/>
    <mergeCell ref="A1:L1"/>
    <mergeCell ref="A2:L2"/>
    <mergeCell ref="K6:L6"/>
    <mergeCell ref="A4:L4"/>
    <mergeCell ref="G6:I6"/>
    <mergeCell ref="A16:N16"/>
    <mergeCell ref="N18:N20"/>
    <mergeCell ref="A18:A24"/>
    <mergeCell ref="B18:B24"/>
    <mergeCell ref="C18:C24"/>
    <mergeCell ref="N34:N36"/>
    <mergeCell ref="A80:A81"/>
    <mergeCell ref="B80:B81"/>
    <mergeCell ref="L65:L73"/>
    <mergeCell ref="A95:A96"/>
    <mergeCell ref="B95:B96"/>
    <mergeCell ref="C95:C96"/>
    <mergeCell ref="A50:A56"/>
    <mergeCell ref="B50:B56"/>
    <mergeCell ref="C50:C56"/>
    <mergeCell ref="A83:A84"/>
    <mergeCell ref="B83:B84"/>
    <mergeCell ref="C83:C84"/>
    <mergeCell ref="A86:A87"/>
    <mergeCell ref="B86:B87"/>
    <mergeCell ref="C86:C87"/>
    <mergeCell ref="A89:A90"/>
    <mergeCell ref="B89:B90"/>
    <mergeCell ref="C89:C90"/>
  </mergeCells>
  <phoneticPr fontId="15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44"/>
  <sheetViews>
    <sheetView topLeftCell="A7" workbookViewId="0">
      <selection activeCell="M13" sqref="M13"/>
    </sheetView>
  </sheetViews>
  <sheetFormatPr defaultColWidth="15.140625" defaultRowHeight="15" customHeight="1" x14ac:dyDescent="0.25"/>
  <cols>
    <col min="1" max="1" width="15.7109375" style="26" customWidth="1"/>
    <col min="2" max="3" width="23" style="26" customWidth="1"/>
    <col min="4" max="4" width="28" style="26" customWidth="1"/>
    <col min="5" max="5" width="17.5703125" style="26" customWidth="1"/>
    <col min="6" max="6" width="34.42578125" style="26" customWidth="1"/>
    <col min="7" max="8" width="15.42578125" style="26" customWidth="1"/>
    <col min="9" max="9" width="15.5703125" style="26" customWidth="1"/>
    <col min="10" max="10" width="13" style="26" customWidth="1"/>
    <col min="11" max="11" width="15.42578125" style="26" customWidth="1"/>
    <col min="12" max="26" width="7.5703125" style="26" customWidth="1"/>
    <col min="27" max="16384" width="15.140625" style="26"/>
  </cols>
  <sheetData>
    <row r="1" spans="1:26" ht="15.75" customHeight="1" x14ac:dyDescent="0.25">
      <c r="A1" s="152"/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8.5" customHeight="1" x14ac:dyDescent="0.25">
      <c r="A2" s="154" t="s">
        <v>80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6.5" customHeight="1" x14ac:dyDescent="0.25">
      <c r="A4" s="157" t="s">
        <v>81</v>
      </c>
      <c r="B4" s="153"/>
      <c r="C4" s="153"/>
      <c r="D4" s="153"/>
      <c r="E4" s="153"/>
      <c r="F4" s="153"/>
      <c r="G4" s="153"/>
      <c r="H4" s="153"/>
      <c r="I4" s="153"/>
      <c r="J4" s="153"/>
      <c r="K4" s="153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33" customHeight="1" x14ac:dyDescent="0.25">
      <c r="A6" s="8" t="s">
        <v>2</v>
      </c>
      <c r="B6" s="9"/>
      <c r="C6" s="10"/>
      <c r="D6" s="7"/>
      <c r="E6" s="7"/>
      <c r="F6" s="7"/>
      <c r="G6" s="170" t="s">
        <v>7</v>
      </c>
      <c r="H6" s="171"/>
      <c r="I6" s="7"/>
      <c r="J6" s="170" t="s">
        <v>8</v>
      </c>
      <c r="K6" s="171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2.75" customHeight="1" x14ac:dyDescent="0.25">
      <c r="A7" s="8" t="s">
        <v>9</v>
      </c>
      <c r="B7" s="4"/>
      <c r="C7" s="3"/>
      <c r="D7" s="7"/>
      <c r="E7" s="7"/>
      <c r="F7" s="7"/>
      <c r="G7" s="11" t="s">
        <v>10</v>
      </c>
      <c r="H7" s="12"/>
      <c r="I7" s="7"/>
      <c r="J7" s="11" t="s">
        <v>11</v>
      </c>
      <c r="K7" s="12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2.75" customHeight="1" x14ac:dyDescent="0.25">
      <c r="A8" s="8" t="s">
        <v>12</v>
      </c>
      <c r="B8" s="9"/>
      <c r="C8" s="10"/>
      <c r="D8" s="7"/>
      <c r="E8" s="7"/>
      <c r="F8" s="7"/>
      <c r="G8" s="11" t="s">
        <v>13</v>
      </c>
      <c r="H8" s="13"/>
      <c r="I8" s="7"/>
      <c r="J8" s="11" t="s">
        <v>13</v>
      </c>
      <c r="K8" s="13">
        <f t="array" ref="K8">(COUNTIF(H16:H27,"Fail"))</f>
        <v>0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2.75" customHeight="1" x14ac:dyDescent="0.25">
      <c r="A9" s="8" t="s">
        <v>14</v>
      </c>
      <c r="B9" s="9"/>
      <c r="C9" s="10"/>
      <c r="D9" s="7"/>
      <c r="E9" s="7"/>
      <c r="F9" s="7"/>
      <c r="G9" s="11" t="s">
        <v>15</v>
      </c>
      <c r="H9" s="14"/>
      <c r="I9" s="7"/>
      <c r="J9" s="11" t="s">
        <v>15</v>
      </c>
      <c r="K9" s="14">
        <f t="array" ref="K9">(COUNTIF(H16:H27,"On Hold"))</f>
        <v>0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2.75" customHeight="1" x14ac:dyDescent="0.25">
      <c r="A10" s="7"/>
      <c r="B10" s="7"/>
      <c r="C10" s="7"/>
      <c r="D10" s="7"/>
      <c r="E10" s="7"/>
      <c r="F10" s="7"/>
      <c r="G10" s="11" t="s">
        <v>11</v>
      </c>
      <c r="H10" s="15"/>
      <c r="I10" s="7"/>
      <c r="J10" s="11" t="s">
        <v>11</v>
      </c>
      <c r="K10" s="15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25">
      <c r="A11" s="7"/>
      <c r="B11" s="7"/>
      <c r="C11" s="7"/>
      <c r="D11" s="7"/>
      <c r="E11" s="7"/>
      <c r="F11" s="7"/>
      <c r="G11" s="16" t="s">
        <v>16</v>
      </c>
      <c r="H11" s="17">
        <f t="array" ref="H11">(COUNTIF(G16:G27,"Not Applicable"))</f>
        <v>0</v>
      </c>
      <c r="I11" s="7"/>
      <c r="J11" s="16" t="s">
        <v>16</v>
      </c>
      <c r="K11" s="17">
        <f t="array" ref="K11">(COUNTIF(H16:H27,"Not Applicable"))</f>
        <v>0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 x14ac:dyDescent="0.25">
      <c r="A12" s="7"/>
      <c r="B12" s="7"/>
      <c r="C12" s="7"/>
      <c r="D12" s="7"/>
      <c r="E12" s="7"/>
      <c r="F12" s="7"/>
      <c r="G12" s="11" t="s">
        <v>17</v>
      </c>
      <c r="H12" s="18">
        <f>SUM(H7:H11)</f>
        <v>0</v>
      </c>
      <c r="I12" s="7"/>
      <c r="J12" s="11" t="s">
        <v>17</v>
      </c>
      <c r="K12" s="18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5.5" customHeight="1" x14ac:dyDescent="0.25">
      <c r="A14" s="19" t="s">
        <v>18</v>
      </c>
      <c r="B14" s="19" t="s">
        <v>19</v>
      </c>
      <c r="C14" s="19" t="s">
        <v>20</v>
      </c>
      <c r="D14" s="19" t="s">
        <v>21</v>
      </c>
      <c r="E14" s="19" t="s">
        <v>22</v>
      </c>
      <c r="F14" s="19" t="s">
        <v>23</v>
      </c>
      <c r="G14" s="19" t="s">
        <v>24</v>
      </c>
      <c r="H14" s="19" t="s">
        <v>25</v>
      </c>
      <c r="I14" s="19" t="s">
        <v>26</v>
      </c>
      <c r="J14" s="19" t="s">
        <v>27</v>
      </c>
      <c r="K14" s="19" t="s">
        <v>28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 x14ac:dyDescent="0.25">
      <c r="A15" s="167" t="s">
        <v>6</v>
      </c>
      <c r="B15" s="168"/>
      <c r="C15" s="168"/>
      <c r="D15" s="168"/>
      <c r="E15" s="168"/>
      <c r="F15" s="168"/>
      <c r="G15" s="168"/>
      <c r="H15" s="168"/>
      <c r="I15" s="168"/>
      <c r="J15" s="168"/>
      <c r="K15" s="169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25">
      <c r="A16" s="31" t="s">
        <v>50</v>
      </c>
      <c r="B16" s="32"/>
      <c r="C16" s="32"/>
      <c r="D16" s="33"/>
      <c r="E16" s="33"/>
      <c r="F16" s="33"/>
      <c r="G16" s="67" t="s">
        <v>11</v>
      </c>
      <c r="H16" s="28" t="s">
        <v>11</v>
      </c>
      <c r="I16" s="37"/>
      <c r="J16" s="37" t="s">
        <v>29</v>
      </c>
      <c r="K16" s="37" t="s">
        <v>30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25">
      <c r="A17" s="31" t="s">
        <v>51</v>
      </c>
      <c r="B17" s="34"/>
      <c r="C17" s="33"/>
      <c r="D17" s="33"/>
      <c r="E17" s="33"/>
      <c r="F17" s="33"/>
      <c r="G17" s="67" t="s">
        <v>11</v>
      </c>
      <c r="H17" s="28" t="s">
        <v>11</v>
      </c>
      <c r="I17" s="37"/>
      <c r="J17" s="37" t="s">
        <v>31</v>
      </c>
      <c r="K17" s="37" t="s">
        <v>32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25">
      <c r="A18" s="31" t="s">
        <v>52</v>
      </c>
      <c r="B18" s="34"/>
      <c r="C18" s="35"/>
      <c r="D18" s="33"/>
      <c r="E18" s="33"/>
      <c r="F18" s="33"/>
      <c r="G18" s="67" t="s">
        <v>11</v>
      </c>
      <c r="H18" s="28" t="s">
        <v>11</v>
      </c>
      <c r="I18" s="37"/>
      <c r="J18" s="37" t="s">
        <v>29</v>
      </c>
      <c r="K18" s="37" t="s">
        <v>30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25">
      <c r="A19" s="31" t="s">
        <v>53</v>
      </c>
      <c r="B19" s="36"/>
      <c r="C19" s="36"/>
      <c r="D19" s="33"/>
      <c r="E19" s="33"/>
      <c r="F19" s="33"/>
      <c r="G19" s="28" t="s">
        <v>11</v>
      </c>
      <c r="H19" s="28" t="s">
        <v>11</v>
      </c>
      <c r="I19" s="38"/>
      <c r="J19" s="37" t="s">
        <v>29</v>
      </c>
      <c r="K19" s="37" t="s">
        <v>30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25">
      <c r="A20" s="31" t="s">
        <v>54</v>
      </c>
      <c r="B20" s="34"/>
      <c r="C20" s="35"/>
      <c r="D20" s="33"/>
      <c r="E20" s="33"/>
      <c r="F20" s="33"/>
      <c r="G20" s="28" t="s">
        <v>11</v>
      </c>
      <c r="H20" s="28" t="s">
        <v>11</v>
      </c>
      <c r="I20" s="37"/>
      <c r="J20" s="37" t="s">
        <v>29</v>
      </c>
      <c r="K20" s="37" t="s">
        <v>30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25">
      <c r="A21" s="31" t="s">
        <v>55</v>
      </c>
      <c r="B21" s="36"/>
      <c r="C21" s="36"/>
      <c r="D21" s="33"/>
      <c r="E21" s="33"/>
      <c r="F21" s="33"/>
      <c r="G21" s="28" t="s">
        <v>11</v>
      </c>
      <c r="H21" s="28" t="s">
        <v>11</v>
      </c>
      <c r="I21" s="38"/>
      <c r="J21" s="37" t="s">
        <v>29</v>
      </c>
      <c r="K21" s="37" t="s">
        <v>30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25">
      <c r="A22" s="31" t="s">
        <v>56</v>
      </c>
      <c r="B22" s="34"/>
      <c r="C22" s="35"/>
      <c r="D22" s="33"/>
      <c r="E22" s="33"/>
      <c r="F22" s="33"/>
      <c r="G22" s="28" t="s">
        <v>11</v>
      </c>
      <c r="H22" s="28" t="s">
        <v>11</v>
      </c>
      <c r="I22" s="37"/>
      <c r="J22" s="37" t="s">
        <v>33</v>
      </c>
      <c r="K22" s="37" t="s">
        <v>34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25">
      <c r="A23" s="31" t="s">
        <v>57</v>
      </c>
      <c r="B23" s="36"/>
      <c r="C23" s="36"/>
      <c r="D23" s="33"/>
      <c r="E23" s="33"/>
      <c r="F23" s="33"/>
      <c r="G23" s="28" t="s">
        <v>11</v>
      </c>
      <c r="H23" s="28" t="s">
        <v>11</v>
      </c>
      <c r="I23" s="38"/>
      <c r="J23" s="37" t="s">
        <v>33</v>
      </c>
      <c r="K23" s="37" t="s">
        <v>34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25">
      <c r="A24" s="31" t="s">
        <v>58</v>
      </c>
      <c r="B24" s="34"/>
      <c r="C24" s="35"/>
      <c r="D24" s="33"/>
      <c r="E24" s="33"/>
      <c r="F24" s="33"/>
      <c r="G24" s="28" t="s">
        <v>11</v>
      </c>
      <c r="H24" s="28" t="s">
        <v>11</v>
      </c>
      <c r="I24" s="37"/>
      <c r="J24" s="37" t="s">
        <v>33</v>
      </c>
      <c r="K24" s="37" t="s">
        <v>34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25">
      <c r="A25" s="31" t="s">
        <v>59</v>
      </c>
      <c r="B25" s="36"/>
      <c r="C25" s="36"/>
      <c r="D25" s="33"/>
      <c r="E25" s="33"/>
      <c r="F25" s="33"/>
      <c r="G25" s="28" t="s">
        <v>11</v>
      </c>
      <c r="H25" s="28" t="s">
        <v>11</v>
      </c>
      <c r="I25" s="38"/>
      <c r="J25" s="37" t="s">
        <v>33</v>
      </c>
      <c r="K25" s="37" t="s">
        <v>34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25">
      <c r="A26" s="31" t="s">
        <v>60</v>
      </c>
      <c r="B26" s="34"/>
      <c r="C26" s="35"/>
      <c r="D26" s="33"/>
      <c r="E26" s="33"/>
      <c r="F26" s="33"/>
      <c r="G26" s="28" t="s">
        <v>11</v>
      </c>
      <c r="H26" s="28" t="s">
        <v>11</v>
      </c>
      <c r="I26" s="37"/>
      <c r="J26" s="37" t="s">
        <v>33</v>
      </c>
      <c r="K26" s="37" t="s">
        <v>34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25">
      <c r="A27" s="31" t="s">
        <v>61</v>
      </c>
      <c r="B27" s="36"/>
      <c r="C27" s="36"/>
      <c r="D27" s="33"/>
      <c r="E27" s="33"/>
      <c r="F27" s="33"/>
      <c r="G27" s="28" t="s">
        <v>11</v>
      </c>
      <c r="H27" s="28" t="s">
        <v>11</v>
      </c>
      <c r="I27" s="38"/>
      <c r="J27" s="37" t="s">
        <v>33</v>
      </c>
      <c r="K27" s="37" t="s">
        <v>34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2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2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2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2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2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2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2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2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2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2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2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2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2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2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2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2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2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2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2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2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2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2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2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2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2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2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2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2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2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2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2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2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2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2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2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2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2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2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2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2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2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2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2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2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2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2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2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2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2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2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2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2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2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2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2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2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2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2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2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2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2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2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2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2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2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2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2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2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2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2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2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2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2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2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2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2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2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2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2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2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2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2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2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2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2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2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2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2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2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2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2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2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2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2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2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2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2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2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2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2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2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2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2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2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2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2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2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2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2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2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2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2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2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2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2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2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2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2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2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2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2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2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2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2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2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2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2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2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2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2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2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2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2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2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2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2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2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</sheetData>
  <mergeCells count="6">
    <mergeCell ref="A15:K15"/>
    <mergeCell ref="A1:K1"/>
    <mergeCell ref="A2:K2"/>
    <mergeCell ref="A4:K4"/>
    <mergeCell ref="G6:H6"/>
    <mergeCell ref="J6:K6"/>
  </mergeCells>
  <dataValidations count="1">
    <dataValidation type="list" allowBlank="1" showErrorMessage="1" sqref="G16:H27">
      <formula1>"Not Executed,Pass,Fail,On Hold"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>
      <selection activeCell="B26" sqref="B26"/>
    </sheetView>
  </sheetViews>
  <sheetFormatPr defaultColWidth="15.140625" defaultRowHeight="15" customHeight="1" outlineLevelRow="1" x14ac:dyDescent="0.25"/>
  <cols>
    <col min="1" max="1" width="10.140625" customWidth="1"/>
    <col min="2" max="2" width="72.85546875" customWidth="1"/>
    <col min="3" max="3" width="18.85546875" customWidth="1"/>
    <col min="4" max="4" width="11.42578125" customWidth="1"/>
    <col min="5" max="7" width="7.5703125" customWidth="1"/>
    <col min="8" max="8" width="12.28515625" customWidth="1"/>
    <col min="9" max="26" width="7.5703125" customWidth="1"/>
  </cols>
  <sheetData>
    <row r="1" spans="1:26" ht="15.75" customHeight="1" x14ac:dyDescent="0.25">
      <c r="A1" s="152"/>
      <c r="B1" s="153"/>
      <c r="C1" s="153"/>
      <c r="D1" s="153"/>
      <c r="E1" s="153"/>
      <c r="F1" s="153"/>
      <c r="G1" s="153"/>
      <c r="H1" s="15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5" customHeight="1" x14ac:dyDescent="0.25">
      <c r="A2" s="154" t="s">
        <v>80</v>
      </c>
      <c r="B2" s="153"/>
      <c r="C2" s="153"/>
      <c r="D2" s="153"/>
      <c r="E2" s="153"/>
      <c r="F2" s="153"/>
      <c r="G2" s="153"/>
      <c r="H2" s="15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/>
      <c r="B3" s="2"/>
      <c r="C3" s="2"/>
      <c r="D3" s="2"/>
      <c r="E3" s="2"/>
      <c r="F3" s="2"/>
      <c r="G3" s="2"/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57" t="s">
        <v>81</v>
      </c>
      <c r="B4" s="153"/>
      <c r="C4" s="153"/>
      <c r="D4" s="153"/>
      <c r="E4" s="153"/>
      <c r="F4" s="153"/>
      <c r="G4" s="153"/>
      <c r="H4" s="153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B5" s="5"/>
      <c r="C5" s="5"/>
      <c r="D5" s="5"/>
      <c r="H5" s="5"/>
    </row>
    <row r="6" spans="1:26" ht="13.5" customHeight="1" x14ac:dyDescent="0.25">
      <c r="A6" s="172" t="s">
        <v>35</v>
      </c>
      <c r="B6" s="171"/>
      <c r="C6" s="173"/>
      <c r="D6" s="5"/>
      <c r="H6" s="5"/>
    </row>
    <row r="7" spans="1:26" ht="13.5" customHeight="1" x14ac:dyDescent="0.25">
      <c r="A7" s="172" t="s">
        <v>36</v>
      </c>
      <c r="B7" s="171"/>
      <c r="C7" s="173"/>
      <c r="D7" s="20"/>
      <c r="H7" s="5"/>
    </row>
    <row r="8" spans="1:26" outlineLevel="1" x14ac:dyDescent="0.25">
      <c r="A8" s="21" t="s">
        <v>37</v>
      </c>
      <c r="B8" s="21" t="s">
        <v>38</v>
      </c>
      <c r="C8" s="21" t="s">
        <v>39</v>
      </c>
      <c r="D8" s="5"/>
      <c r="H8" s="5"/>
    </row>
    <row r="9" spans="1:26" outlineLevel="1" x14ac:dyDescent="0.25">
      <c r="A9" s="22">
        <v>1</v>
      </c>
      <c r="B9" s="6"/>
      <c r="C9" s="23" t="s">
        <v>11</v>
      </c>
      <c r="D9" s="20"/>
      <c r="E9" s="174"/>
      <c r="F9" s="175"/>
      <c r="G9" s="175"/>
      <c r="H9" s="175"/>
    </row>
    <row r="10" spans="1:26" outlineLevel="1" x14ac:dyDescent="0.25">
      <c r="A10" s="22">
        <v>2</v>
      </c>
      <c r="B10" s="6"/>
      <c r="C10" s="23" t="s">
        <v>11</v>
      </c>
      <c r="D10" s="20"/>
      <c r="E10" s="20"/>
      <c r="F10" s="20"/>
      <c r="G10" s="20"/>
      <c r="H10" s="1"/>
    </row>
    <row r="11" spans="1:26" outlineLevel="1" x14ac:dyDescent="0.25">
      <c r="A11" s="22">
        <v>3</v>
      </c>
      <c r="B11" s="6"/>
      <c r="C11" s="23" t="s">
        <v>11</v>
      </c>
      <c r="D11" s="1"/>
      <c r="E11" s="1"/>
      <c r="F11" s="1"/>
      <c r="G11" s="1"/>
      <c r="H11" s="1"/>
    </row>
    <row r="12" spans="1:26" ht="15" customHeight="1" collapsed="1" x14ac:dyDescent="0.25">
      <c r="A12" s="172" t="s">
        <v>40</v>
      </c>
      <c r="B12" s="171"/>
      <c r="C12" s="173"/>
      <c r="D12" s="5"/>
      <c r="H12" s="5"/>
    </row>
    <row r="13" spans="1:26" hidden="1" outlineLevel="1" x14ac:dyDescent="0.25">
      <c r="A13" s="21" t="s">
        <v>37</v>
      </c>
      <c r="B13" s="21" t="s">
        <v>38</v>
      </c>
      <c r="C13" s="21" t="s">
        <v>39</v>
      </c>
      <c r="D13" s="5"/>
      <c r="H13" s="5"/>
    </row>
    <row r="14" spans="1:26" hidden="1" outlineLevel="1" x14ac:dyDescent="0.25">
      <c r="A14" s="22">
        <v>1</v>
      </c>
      <c r="B14" s="6"/>
      <c r="C14" s="23" t="s">
        <v>11</v>
      </c>
      <c r="D14" s="5"/>
      <c r="H14" s="5"/>
    </row>
    <row r="15" spans="1:26" hidden="1" outlineLevel="1" x14ac:dyDescent="0.25">
      <c r="A15" s="22">
        <v>2</v>
      </c>
      <c r="B15" s="6"/>
      <c r="C15" s="23" t="s">
        <v>11</v>
      </c>
      <c r="D15" s="5"/>
      <c r="H15" s="5"/>
    </row>
    <row r="16" spans="1:26" hidden="1" outlineLevel="1" x14ac:dyDescent="0.25">
      <c r="A16" s="22">
        <v>3</v>
      </c>
      <c r="B16" s="6"/>
      <c r="C16" s="23" t="s">
        <v>11</v>
      </c>
      <c r="D16" s="5"/>
      <c r="H16" s="5"/>
    </row>
    <row r="17" spans="1:26" ht="15" customHeight="1" collapsed="1" x14ac:dyDescent="0.25">
      <c r="A17" s="172" t="s">
        <v>41</v>
      </c>
      <c r="B17" s="171"/>
      <c r="C17" s="173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idden="1" outlineLevel="1" x14ac:dyDescent="0.25">
      <c r="A18" s="21" t="s">
        <v>37</v>
      </c>
      <c r="B18" s="21" t="s">
        <v>38</v>
      </c>
      <c r="C18" s="21" t="s">
        <v>39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idden="1" outlineLevel="1" x14ac:dyDescent="0.25">
      <c r="A19" s="22">
        <v>1</v>
      </c>
      <c r="B19" s="6"/>
      <c r="C19" s="23" t="s">
        <v>11</v>
      </c>
      <c r="D19" s="1"/>
      <c r="E19" s="1"/>
      <c r="F19" s="1"/>
      <c r="G19" s="1"/>
      <c r="H19" s="2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idden="1" outlineLevel="1" x14ac:dyDescent="0.25">
      <c r="A20" s="22">
        <v>2</v>
      </c>
      <c r="B20" s="6"/>
      <c r="C20" s="23" t="s">
        <v>11</v>
      </c>
      <c r="D20" s="1"/>
      <c r="E20" s="1"/>
      <c r="F20" s="1"/>
      <c r="G20" s="1"/>
      <c r="H20" s="2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idden="1" outlineLevel="1" x14ac:dyDescent="0.25">
      <c r="A21" s="22">
        <v>3</v>
      </c>
      <c r="B21" s="6"/>
      <c r="C21" s="23" t="s">
        <v>11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B22" s="5"/>
      <c r="C22" s="5"/>
      <c r="D22" s="5"/>
      <c r="H22" s="1"/>
    </row>
    <row r="23" spans="1:26" x14ac:dyDescent="0.25">
      <c r="B23" s="5"/>
      <c r="C23" s="5"/>
      <c r="D23" s="5"/>
      <c r="H23" s="5"/>
    </row>
    <row r="24" spans="1:26" x14ac:dyDescent="0.25">
      <c r="B24" s="5"/>
      <c r="C24" s="5"/>
      <c r="D24" s="5"/>
      <c r="H24" s="5"/>
    </row>
    <row r="25" spans="1:26" x14ac:dyDescent="0.25">
      <c r="B25" s="5"/>
      <c r="C25" s="5"/>
      <c r="D25" s="5"/>
      <c r="H25" s="5"/>
    </row>
    <row r="26" spans="1:26" x14ac:dyDescent="0.25">
      <c r="B26" s="5"/>
      <c r="C26" s="5"/>
      <c r="D26" s="5"/>
      <c r="H26" s="5"/>
    </row>
    <row r="27" spans="1:26" x14ac:dyDescent="0.25">
      <c r="B27" s="5"/>
      <c r="C27" s="5"/>
      <c r="D27" s="5"/>
      <c r="H27" s="5"/>
    </row>
    <row r="28" spans="1:26" x14ac:dyDescent="0.25">
      <c r="B28" s="5"/>
      <c r="C28" s="5"/>
      <c r="D28" s="5"/>
      <c r="H28" s="5"/>
    </row>
    <row r="29" spans="1:26" x14ac:dyDescent="0.25">
      <c r="B29" s="5"/>
      <c r="C29" s="5"/>
      <c r="D29" s="5"/>
      <c r="H29" s="5"/>
    </row>
    <row r="30" spans="1:26" x14ac:dyDescent="0.25">
      <c r="B30" s="5"/>
      <c r="C30" s="5"/>
      <c r="D30" s="5"/>
      <c r="H30" s="5"/>
    </row>
    <row r="31" spans="1:26" x14ac:dyDescent="0.25">
      <c r="B31" s="5"/>
      <c r="C31" s="5"/>
      <c r="D31" s="5"/>
      <c r="H31" s="5"/>
    </row>
    <row r="32" spans="1:26" x14ac:dyDescent="0.25">
      <c r="B32" s="5"/>
      <c r="C32" s="5"/>
      <c r="D32" s="5"/>
      <c r="H32" s="5"/>
    </row>
    <row r="33" spans="2:8" x14ac:dyDescent="0.25">
      <c r="B33" s="5"/>
      <c r="C33" s="5"/>
      <c r="D33" s="5"/>
      <c r="H33" s="5"/>
    </row>
    <row r="34" spans="2:8" x14ac:dyDescent="0.25">
      <c r="B34" s="5"/>
      <c r="C34" s="5"/>
      <c r="D34" s="5"/>
      <c r="H34" s="5"/>
    </row>
    <row r="35" spans="2:8" x14ac:dyDescent="0.25">
      <c r="B35" s="5"/>
      <c r="C35" s="5"/>
      <c r="D35" s="5"/>
      <c r="H35" s="5"/>
    </row>
    <row r="36" spans="2:8" x14ac:dyDescent="0.25">
      <c r="B36" s="5"/>
      <c r="C36" s="5"/>
      <c r="D36" s="5"/>
      <c r="H36" s="5"/>
    </row>
    <row r="37" spans="2:8" x14ac:dyDescent="0.25">
      <c r="B37" s="5"/>
      <c r="C37" s="5"/>
      <c r="D37" s="5"/>
      <c r="H37" s="5"/>
    </row>
    <row r="38" spans="2:8" x14ac:dyDescent="0.25">
      <c r="B38" s="5"/>
      <c r="C38" s="5"/>
      <c r="D38" s="5"/>
      <c r="H38" s="5"/>
    </row>
    <row r="39" spans="2:8" x14ac:dyDescent="0.25">
      <c r="B39" s="5"/>
      <c r="C39" s="5"/>
      <c r="D39" s="5"/>
      <c r="H39" s="5"/>
    </row>
    <row r="40" spans="2:8" x14ac:dyDescent="0.25">
      <c r="B40" s="5"/>
      <c r="C40" s="5"/>
      <c r="D40" s="5"/>
      <c r="H40" s="5"/>
    </row>
    <row r="41" spans="2:8" x14ac:dyDescent="0.25">
      <c r="B41" s="5"/>
      <c r="C41" s="5"/>
      <c r="D41" s="5"/>
      <c r="H41" s="5"/>
    </row>
    <row r="42" spans="2:8" x14ac:dyDescent="0.25">
      <c r="B42" s="5"/>
      <c r="C42" s="5"/>
      <c r="D42" s="5"/>
      <c r="H42" s="5"/>
    </row>
    <row r="43" spans="2:8" x14ac:dyDescent="0.25">
      <c r="B43" s="5"/>
      <c r="C43" s="5"/>
      <c r="D43" s="5"/>
      <c r="H43" s="5"/>
    </row>
    <row r="44" spans="2:8" x14ac:dyDescent="0.25">
      <c r="B44" s="5"/>
      <c r="C44" s="5"/>
      <c r="D44" s="5"/>
      <c r="H44" s="5"/>
    </row>
    <row r="45" spans="2:8" x14ac:dyDescent="0.25">
      <c r="B45" s="5"/>
      <c r="C45" s="5"/>
      <c r="D45" s="5"/>
      <c r="H45" s="5"/>
    </row>
    <row r="46" spans="2:8" x14ac:dyDescent="0.25">
      <c r="B46" s="5"/>
      <c r="C46" s="5"/>
      <c r="D46" s="5"/>
      <c r="H46" s="5"/>
    </row>
    <row r="47" spans="2:8" x14ac:dyDescent="0.25">
      <c r="B47" s="5"/>
      <c r="C47" s="5"/>
      <c r="D47" s="5"/>
      <c r="H47" s="5"/>
    </row>
    <row r="48" spans="2:8" x14ac:dyDescent="0.25">
      <c r="B48" s="5"/>
      <c r="C48" s="5"/>
      <c r="D48" s="5"/>
      <c r="H48" s="5"/>
    </row>
    <row r="49" spans="2:8" x14ac:dyDescent="0.25">
      <c r="B49" s="5"/>
      <c r="C49" s="5"/>
      <c r="D49" s="5"/>
      <c r="H49" s="5"/>
    </row>
    <row r="50" spans="2:8" x14ac:dyDescent="0.25">
      <c r="B50" s="5"/>
      <c r="C50" s="5"/>
      <c r="D50" s="5"/>
      <c r="H50" s="5"/>
    </row>
    <row r="51" spans="2:8" x14ac:dyDescent="0.25">
      <c r="B51" s="5"/>
      <c r="C51" s="5"/>
      <c r="D51" s="5"/>
      <c r="H51" s="5"/>
    </row>
    <row r="52" spans="2:8" x14ac:dyDescent="0.25">
      <c r="B52" s="5"/>
      <c r="C52" s="5"/>
      <c r="D52" s="5"/>
      <c r="H52" s="5"/>
    </row>
    <row r="53" spans="2:8" x14ac:dyDescent="0.25">
      <c r="B53" s="5"/>
      <c r="C53" s="5"/>
      <c r="D53" s="5"/>
      <c r="H53" s="5"/>
    </row>
    <row r="54" spans="2:8" x14ac:dyDescent="0.25">
      <c r="B54" s="5"/>
      <c r="C54" s="5"/>
      <c r="D54" s="5"/>
      <c r="H54" s="5"/>
    </row>
    <row r="55" spans="2:8" x14ac:dyDescent="0.25">
      <c r="B55" s="5"/>
      <c r="C55" s="5"/>
      <c r="D55" s="5"/>
      <c r="H55" s="5"/>
    </row>
    <row r="56" spans="2:8" x14ac:dyDescent="0.25">
      <c r="B56" s="5"/>
      <c r="C56" s="5"/>
      <c r="D56" s="5"/>
      <c r="H56" s="5"/>
    </row>
    <row r="57" spans="2:8" x14ac:dyDescent="0.25">
      <c r="B57" s="5"/>
      <c r="C57" s="5"/>
      <c r="D57" s="5"/>
      <c r="H57" s="5"/>
    </row>
    <row r="58" spans="2:8" x14ac:dyDescent="0.25">
      <c r="B58" s="5"/>
      <c r="C58" s="5"/>
      <c r="D58" s="5"/>
      <c r="H58" s="5"/>
    </row>
    <row r="59" spans="2:8" x14ac:dyDescent="0.25">
      <c r="B59" s="5"/>
      <c r="C59" s="5"/>
      <c r="D59" s="5"/>
      <c r="H59" s="5"/>
    </row>
    <row r="60" spans="2:8" x14ac:dyDescent="0.25">
      <c r="B60" s="5"/>
      <c r="C60" s="5"/>
      <c r="D60" s="5"/>
      <c r="H60" s="5"/>
    </row>
    <row r="61" spans="2:8" x14ac:dyDescent="0.25">
      <c r="B61" s="5"/>
      <c r="C61" s="5"/>
      <c r="D61" s="5"/>
      <c r="H61" s="5"/>
    </row>
    <row r="62" spans="2:8" x14ac:dyDescent="0.25">
      <c r="B62" s="5"/>
      <c r="C62" s="5"/>
      <c r="D62" s="5"/>
      <c r="H62" s="5"/>
    </row>
    <row r="63" spans="2:8" x14ac:dyDescent="0.25">
      <c r="B63" s="5"/>
      <c r="C63" s="5"/>
      <c r="D63" s="5"/>
      <c r="H63" s="5"/>
    </row>
    <row r="64" spans="2:8" x14ac:dyDescent="0.25">
      <c r="B64" s="5"/>
      <c r="C64" s="5"/>
      <c r="D64" s="5"/>
      <c r="H64" s="5"/>
    </row>
    <row r="65" spans="2:8" x14ac:dyDescent="0.25">
      <c r="B65" s="5"/>
      <c r="C65" s="5"/>
      <c r="D65" s="5"/>
      <c r="H65" s="5"/>
    </row>
    <row r="66" spans="2:8" x14ac:dyDescent="0.25">
      <c r="B66" s="5"/>
      <c r="C66" s="5"/>
      <c r="D66" s="5"/>
      <c r="H66" s="5"/>
    </row>
    <row r="67" spans="2:8" x14ac:dyDescent="0.25">
      <c r="B67" s="5"/>
      <c r="C67" s="5"/>
      <c r="D67" s="5"/>
      <c r="H67" s="5"/>
    </row>
    <row r="68" spans="2:8" x14ac:dyDescent="0.25">
      <c r="B68" s="5"/>
      <c r="C68" s="5"/>
      <c r="D68" s="5"/>
      <c r="H68" s="5"/>
    </row>
    <row r="69" spans="2:8" x14ac:dyDescent="0.25">
      <c r="B69" s="5"/>
      <c r="C69" s="5"/>
      <c r="D69" s="5"/>
      <c r="H69" s="5"/>
    </row>
    <row r="70" spans="2:8" x14ac:dyDescent="0.25">
      <c r="B70" s="5"/>
      <c r="C70" s="5"/>
      <c r="D70" s="5"/>
      <c r="H70" s="5"/>
    </row>
    <row r="71" spans="2:8" x14ac:dyDescent="0.25">
      <c r="B71" s="5"/>
      <c r="C71" s="5"/>
      <c r="D71" s="5"/>
      <c r="H71" s="5"/>
    </row>
    <row r="72" spans="2:8" x14ac:dyDescent="0.25">
      <c r="B72" s="5"/>
      <c r="C72" s="5"/>
      <c r="D72" s="5"/>
      <c r="H72" s="5"/>
    </row>
    <row r="73" spans="2:8" x14ac:dyDescent="0.25">
      <c r="B73" s="5"/>
      <c r="C73" s="5"/>
      <c r="D73" s="5"/>
      <c r="H73" s="5"/>
    </row>
    <row r="74" spans="2:8" x14ac:dyDescent="0.25">
      <c r="B74" s="5"/>
      <c r="C74" s="5"/>
      <c r="D74" s="5"/>
      <c r="H74" s="5"/>
    </row>
    <row r="75" spans="2:8" x14ac:dyDescent="0.25">
      <c r="B75" s="5"/>
      <c r="C75" s="5"/>
      <c r="D75" s="5"/>
      <c r="H75" s="5"/>
    </row>
    <row r="76" spans="2:8" x14ac:dyDescent="0.25">
      <c r="B76" s="5"/>
      <c r="C76" s="5"/>
      <c r="D76" s="5"/>
      <c r="H76" s="5"/>
    </row>
    <row r="77" spans="2:8" x14ac:dyDescent="0.25">
      <c r="B77" s="5"/>
      <c r="C77" s="5"/>
      <c r="D77" s="5"/>
      <c r="H77" s="5"/>
    </row>
    <row r="78" spans="2:8" x14ac:dyDescent="0.25">
      <c r="B78" s="5"/>
      <c r="C78" s="5"/>
      <c r="D78" s="5"/>
      <c r="H78" s="5"/>
    </row>
    <row r="79" spans="2:8" x14ac:dyDescent="0.25">
      <c r="B79" s="5"/>
      <c r="C79" s="5"/>
      <c r="D79" s="5"/>
      <c r="H79" s="5"/>
    </row>
    <row r="80" spans="2:8" x14ac:dyDescent="0.25">
      <c r="B80" s="5"/>
      <c r="C80" s="5"/>
      <c r="D80" s="5"/>
      <c r="H80" s="5"/>
    </row>
    <row r="81" spans="2:8" x14ac:dyDescent="0.25">
      <c r="B81" s="5"/>
      <c r="C81" s="5"/>
      <c r="D81" s="5"/>
      <c r="H81" s="5"/>
    </row>
    <row r="82" spans="2:8" x14ac:dyDescent="0.25">
      <c r="B82" s="5"/>
      <c r="C82" s="5"/>
      <c r="D82" s="5"/>
      <c r="H82" s="5"/>
    </row>
    <row r="83" spans="2:8" x14ac:dyDescent="0.25">
      <c r="B83" s="5"/>
      <c r="C83" s="5"/>
      <c r="D83" s="5"/>
      <c r="H83" s="5"/>
    </row>
    <row r="84" spans="2:8" x14ac:dyDescent="0.25">
      <c r="B84" s="5"/>
      <c r="C84" s="5"/>
      <c r="D84" s="5"/>
      <c r="H84" s="5"/>
    </row>
    <row r="85" spans="2:8" x14ac:dyDescent="0.25">
      <c r="B85" s="5"/>
      <c r="C85" s="5"/>
      <c r="D85" s="5"/>
      <c r="H85" s="5"/>
    </row>
    <row r="86" spans="2:8" x14ac:dyDescent="0.25">
      <c r="B86" s="5"/>
      <c r="C86" s="5"/>
      <c r="D86" s="5"/>
      <c r="H86" s="5"/>
    </row>
    <row r="87" spans="2:8" x14ac:dyDescent="0.25">
      <c r="B87" s="5"/>
      <c r="C87" s="5"/>
      <c r="D87" s="5"/>
      <c r="H87" s="5"/>
    </row>
    <row r="88" spans="2:8" x14ac:dyDescent="0.25">
      <c r="B88" s="5"/>
      <c r="C88" s="5"/>
      <c r="D88" s="5"/>
      <c r="H88" s="5"/>
    </row>
    <row r="89" spans="2:8" x14ac:dyDescent="0.25">
      <c r="B89" s="5"/>
      <c r="C89" s="5"/>
      <c r="D89" s="5"/>
      <c r="H89" s="5"/>
    </row>
    <row r="90" spans="2:8" x14ac:dyDescent="0.25">
      <c r="B90" s="5"/>
      <c r="C90" s="5"/>
      <c r="D90" s="5"/>
      <c r="H90" s="5"/>
    </row>
    <row r="91" spans="2:8" x14ac:dyDescent="0.25">
      <c r="B91" s="5"/>
      <c r="C91" s="5"/>
      <c r="D91" s="5"/>
      <c r="H91" s="5"/>
    </row>
    <row r="92" spans="2:8" x14ac:dyDescent="0.25">
      <c r="B92" s="5"/>
      <c r="C92" s="5"/>
      <c r="D92" s="5"/>
      <c r="H92" s="5"/>
    </row>
    <row r="93" spans="2:8" x14ac:dyDescent="0.25">
      <c r="B93" s="5"/>
      <c r="C93" s="5"/>
      <c r="D93" s="5"/>
      <c r="H93" s="5"/>
    </row>
    <row r="94" spans="2:8" x14ac:dyDescent="0.25">
      <c r="B94" s="5"/>
      <c r="C94" s="5"/>
      <c r="D94" s="5"/>
      <c r="H94" s="5"/>
    </row>
    <row r="95" spans="2:8" x14ac:dyDescent="0.25">
      <c r="B95" s="5"/>
      <c r="C95" s="5"/>
      <c r="D95" s="5"/>
      <c r="H95" s="5"/>
    </row>
    <row r="96" spans="2:8" x14ac:dyDescent="0.25">
      <c r="B96" s="5"/>
      <c r="C96" s="5"/>
      <c r="D96" s="5"/>
      <c r="H96" s="5"/>
    </row>
    <row r="97" spans="2:8" x14ac:dyDescent="0.25">
      <c r="B97" s="5"/>
      <c r="C97" s="5"/>
      <c r="D97" s="5"/>
      <c r="H97" s="5"/>
    </row>
    <row r="98" spans="2:8" x14ac:dyDescent="0.25">
      <c r="B98" s="5"/>
      <c r="C98" s="5"/>
      <c r="D98" s="5"/>
      <c r="H98" s="5"/>
    </row>
    <row r="99" spans="2:8" x14ac:dyDescent="0.25">
      <c r="B99" s="5"/>
      <c r="C99" s="5"/>
      <c r="D99" s="5"/>
      <c r="H99" s="5"/>
    </row>
    <row r="100" spans="2:8" x14ac:dyDescent="0.25">
      <c r="B100" s="5"/>
      <c r="C100" s="5"/>
      <c r="D100" s="5"/>
      <c r="H100" s="5"/>
    </row>
    <row r="101" spans="2:8" x14ac:dyDescent="0.25">
      <c r="B101" s="5"/>
      <c r="C101" s="5"/>
      <c r="D101" s="5"/>
      <c r="H101" s="5"/>
    </row>
    <row r="102" spans="2:8" x14ac:dyDescent="0.25">
      <c r="B102" s="5"/>
      <c r="C102" s="5"/>
      <c r="D102" s="5"/>
      <c r="H102" s="5"/>
    </row>
    <row r="103" spans="2:8" x14ac:dyDescent="0.25">
      <c r="B103" s="5"/>
      <c r="C103" s="5"/>
      <c r="D103" s="5"/>
      <c r="H103" s="5"/>
    </row>
    <row r="104" spans="2:8" x14ac:dyDescent="0.25">
      <c r="B104" s="5"/>
      <c r="C104" s="5"/>
      <c r="D104" s="5"/>
      <c r="H104" s="5"/>
    </row>
    <row r="105" spans="2:8" x14ac:dyDescent="0.25">
      <c r="B105" s="5"/>
      <c r="C105" s="5"/>
      <c r="D105" s="5"/>
      <c r="H105" s="5"/>
    </row>
    <row r="106" spans="2:8" x14ac:dyDescent="0.25">
      <c r="B106" s="5"/>
      <c r="C106" s="5"/>
      <c r="D106" s="5"/>
      <c r="H106" s="5"/>
    </row>
    <row r="107" spans="2:8" x14ac:dyDescent="0.25">
      <c r="B107" s="5"/>
      <c r="C107" s="5"/>
      <c r="D107" s="5"/>
      <c r="H107" s="5"/>
    </row>
    <row r="108" spans="2:8" x14ac:dyDescent="0.25">
      <c r="B108" s="5"/>
      <c r="C108" s="5"/>
      <c r="D108" s="5"/>
      <c r="H108" s="5"/>
    </row>
    <row r="109" spans="2:8" x14ac:dyDescent="0.25">
      <c r="B109" s="5"/>
      <c r="C109" s="5"/>
      <c r="D109" s="5"/>
      <c r="H109" s="5"/>
    </row>
    <row r="110" spans="2:8" x14ac:dyDescent="0.25">
      <c r="B110" s="5"/>
      <c r="C110" s="5"/>
      <c r="D110" s="5"/>
      <c r="H110" s="5"/>
    </row>
    <row r="111" spans="2:8" x14ac:dyDescent="0.25">
      <c r="B111" s="5"/>
      <c r="C111" s="5"/>
      <c r="D111" s="5"/>
      <c r="H111" s="5"/>
    </row>
    <row r="112" spans="2:8" x14ac:dyDescent="0.25">
      <c r="B112" s="5"/>
      <c r="C112" s="5"/>
      <c r="D112" s="5"/>
      <c r="H112" s="5"/>
    </row>
    <row r="113" spans="2:8" x14ac:dyDescent="0.25">
      <c r="B113" s="5"/>
      <c r="C113" s="5"/>
      <c r="D113" s="5"/>
      <c r="H113" s="5"/>
    </row>
    <row r="114" spans="2:8" x14ac:dyDescent="0.25">
      <c r="B114" s="5"/>
      <c r="C114" s="5"/>
      <c r="D114" s="5"/>
      <c r="H114" s="5"/>
    </row>
    <row r="115" spans="2:8" x14ac:dyDescent="0.25">
      <c r="B115" s="5"/>
      <c r="C115" s="5"/>
      <c r="D115" s="5"/>
      <c r="H115" s="5"/>
    </row>
    <row r="116" spans="2:8" x14ac:dyDescent="0.25">
      <c r="B116" s="5"/>
      <c r="C116" s="5"/>
      <c r="D116" s="5"/>
      <c r="H116" s="5"/>
    </row>
    <row r="117" spans="2:8" x14ac:dyDescent="0.25">
      <c r="B117" s="5"/>
      <c r="C117" s="5"/>
      <c r="D117" s="5"/>
      <c r="H117" s="5"/>
    </row>
    <row r="118" spans="2:8" x14ac:dyDescent="0.25">
      <c r="B118" s="5"/>
      <c r="C118" s="5"/>
      <c r="D118" s="5"/>
      <c r="H118" s="5"/>
    </row>
    <row r="119" spans="2:8" x14ac:dyDescent="0.25">
      <c r="B119" s="5"/>
      <c r="C119" s="5"/>
      <c r="D119" s="5"/>
      <c r="H119" s="5"/>
    </row>
    <row r="120" spans="2:8" x14ac:dyDescent="0.25">
      <c r="B120" s="5"/>
      <c r="C120" s="5"/>
      <c r="D120" s="5"/>
      <c r="H120" s="5"/>
    </row>
    <row r="121" spans="2:8" x14ac:dyDescent="0.25">
      <c r="B121" s="5"/>
      <c r="C121" s="5"/>
      <c r="D121" s="5"/>
      <c r="H121" s="5"/>
    </row>
    <row r="122" spans="2:8" x14ac:dyDescent="0.25">
      <c r="B122" s="5"/>
      <c r="C122" s="5"/>
      <c r="D122" s="5"/>
      <c r="H122" s="5"/>
    </row>
    <row r="123" spans="2:8" x14ac:dyDescent="0.25">
      <c r="B123" s="5"/>
      <c r="C123" s="5"/>
      <c r="D123" s="5"/>
      <c r="H123" s="5"/>
    </row>
    <row r="124" spans="2:8" x14ac:dyDescent="0.25">
      <c r="B124" s="5"/>
      <c r="C124" s="5"/>
      <c r="D124" s="5"/>
      <c r="H124" s="5"/>
    </row>
    <row r="125" spans="2:8" x14ac:dyDescent="0.25">
      <c r="B125" s="5"/>
      <c r="C125" s="5"/>
      <c r="D125" s="5"/>
      <c r="H125" s="5"/>
    </row>
    <row r="126" spans="2:8" x14ac:dyDescent="0.25">
      <c r="B126" s="5"/>
      <c r="C126" s="5"/>
      <c r="D126" s="5"/>
      <c r="H126" s="5"/>
    </row>
    <row r="127" spans="2:8" x14ac:dyDescent="0.25">
      <c r="B127" s="5"/>
      <c r="C127" s="5"/>
      <c r="D127" s="5"/>
      <c r="H127" s="5"/>
    </row>
    <row r="128" spans="2:8" x14ac:dyDescent="0.25">
      <c r="B128" s="5"/>
      <c r="C128" s="5"/>
      <c r="D128" s="5"/>
      <c r="H128" s="5"/>
    </row>
    <row r="129" spans="2:8" x14ac:dyDescent="0.25">
      <c r="B129" s="5"/>
      <c r="C129" s="5"/>
      <c r="D129" s="5"/>
      <c r="H129" s="5"/>
    </row>
    <row r="130" spans="2:8" x14ac:dyDescent="0.25">
      <c r="B130" s="5"/>
      <c r="C130" s="5"/>
      <c r="D130" s="5"/>
      <c r="H130" s="5"/>
    </row>
    <row r="131" spans="2:8" x14ac:dyDescent="0.25">
      <c r="B131" s="5"/>
      <c r="C131" s="5"/>
      <c r="D131" s="5"/>
      <c r="H131" s="5"/>
    </row>
    <row r="132" spans="2:8" x14ac:dyDescent="0.25">
      <c r="B132" s="5"/>
      <c r="C132" s="5"/>
      <c r="D132" s="5"/>
      <c r="H132" s="5"/>
    </row>
    <row r="133" spans="2:8" x14ac:dyDescent="0.25">
      <c r="B133" s="5"/>
      <c r="C133" s="5"/>
      <c r="D133" s="5"/>
      <c r="H133" s="5"/>
    </row>
    <row r="134" spans="2:8" x14ac:dyDescent="0.25">
      <c r="B134" s="5"/>
      <c r="C134" s="5"/>
      <c r="D134" s="5"/>
      <c r="H134" s="5"/>
    </row>
    <row r="135" spans="2:8" x14ac:dyDescent="0.25">
      <c r="B135" s="5"/>
      <c r="C135" s="5"/>
      <c r="D135" s="5"/>
      <c r="H135" s="5"/>
    </row>
    <row r="136" spans="2:8" x14ac:dyDescent="0.25">
      <c r="B136" s="5"/>
      <c r="C136" s="5"/>
      <c r="D136" s="5"/>
      <c r="H136" s="5"/>
    </row>
    <row r="137" spans="2:8" x14ac:dyDescent="0.25">
      <c r="B137" s="5"/>
      <c r="C137" s="5"/>
      <c r="D137" s="5"/>
      <c r="H137" s="5"/>
    </row>
    <row r="138" spans="2:8" x14ac:dyDescent="0.25">
      <c r="B138" s="5"/>
      <c r="C138" s="5"/>
      <c r="D138" s="5"/>
      <c r="H138" s="5"/>
    </row>
    <row r="139" spans="2:8" x14ac:dyDescent="0.25">
      <c r="B139" s="5"/>
      <c r="C139" s="5"/>
      <c r="D139" s="5"/>
      <c r="H139" s="5"/>
    </row>
    <row r="140" spans="2:8" x14ac:dyDescent="0.25">
      <c r="B140" s="5"/>
      <c r="C140" s="5"/>
      <c r="D140" s="5"/>
      <c r="H140" s="5"/>
    </row>
    <row r="141" spans="2:8" x14ac:dyDescent="0.25">
      <c r="B141" s="5"/>
      <c r="C141" s="5"/>
      <c r="D141" s="5"/>
      <c r="H141" s="5"/>
    </row>
    <row r="142" spans="2:8" x14ac:dyDescent="0.25">
      <c r="B142" s="5"/>
      <c r="C142" s="5"/>
      <c r="D142" s="5"/>
      <c r="H142" s="5"/>
    </row>
    <row r="143" spans="2:8" x14ac:dyDescent="0.25">
      <c r="B143" s="5"/>
      <c r="C143" s="5"/>
      <c r="D143" s="5"/>
      <c r="H143" s="5"/>
    </row>
    <row r="144" spans="2:8" x14ac:dyDescent="0.25">
      <c r="B144" s="5"/>
      <c r="C144" s="5"/>
      <c r="D144" s="5"/>
      <c r="H144" s="5"/>
    </row>
    <row r="145" spans="2:8" x14ac:dyDescent="0.25">
      <c r="B145" s="5"/>
      <c r="C145" s="5"/>
      <c r="D145" s="5"/>
      <c r="H145" s="5"/>
    </row>
    <row r="146" spans="2:8" x14ac:dyDescent="0.25">
      <c r="B146" s="5"/>
      <c r="C146" s="5"/>
      <c r="D146" s="5"/>
      <c r="H146" s="5"/>
    </row>
    <row r="147" spans="2:8" x14ac:dyDescent="0.25">
      <c r="B147" s="5"/>
      <c r="C147" s="5"/>
      <c r="D147" s="5"/>
      <c r="H147" s="5"/>
    </row>
    <row r="148" spans="2:8" x14ac:dyDescent="0.25">
      <c r="B148" s="5"/>
      <c r="C148" s="5"/>
      <c r="D148" s="5"/>
      <c r="H148" s="5"/>
    </row>
    <row r="149" spans="2:8" x14ac:dyDescent="0.25">
      <c r="B149" s="5"/>
      <c r="C149" s="5"/>
      <c r="D149" s="5"/>
      <c r="H149" s="5"/>
    </row>
    <row r="150" spans="2:8" x14ac:dyDescent="0.25">
      <c r="B150" s="5"/>
      <c r="C150" s="5"/>
      <c r="D150" s="5"/>
      <c r="H150" s="5"/>
    </row>
    <row r="151" spans="2:8" x14ac:dyDescent="0.25">
      <c r="B151" s="5"/>
      <c r="C151" s="5"/>
      <c r="D151" s="5"/>
      <c r="H151" s="5"/>
    </row>
    <row r="152" spans="2:8" x14ac:dyDescent="0.25">
      <c r="B152" s="5"/>
      <c r="C152" s="5"/>
      <c r="D152" s="5"/>
      <c r="H152" s="5"/>
    </row>
    <row r="153" spans="2:8" x14ac:dyDescent="0.25">
      <c r="B153" s="5"/>
      <c r="C153" s="5"/>
      <c r="D153" s="5"/>
      <c r="H153" s="5"/>
    </row>
    <row r="154" spans="2:8" x14ac:dyDescent="0.25">
      <c r="B154" s="5"/>
      <c r="C154" s="5"/>
      <c r="D154" s="5"/>
      <c r="H154" s="5"/>
    </row>
    <row r="155" spans="2:8" x14ac:dyDescent="0.25">
      <c r="B155" s="5"/>
      <c r="C155" s="5"/>
      <c r="D155" s="5"/>
      <c r="H155" s="5"/>
    </row>
    <row r="156" spans="2:8" x14ac:dyDescent="0.25">
      <c r="B156" s="5"/>
      <c r="C156" s="5"/>
      <c r="D156" s="5"/>
      <c r="H156" s="5"/>
    </row>
    <row r="157" spans="2:8" x14ac:dyDescent="0.25">
      <c r="B157" s="5"/>
      <c r="C157" s="5"/>
      <c r="D157" s="5"/>
      <c r="H157" s="5"/>
    </row>
    <row r="158" spans="2:8" x14ac:dyDescent="0.25">
      <c r="B158" s="5"/>
      <c r="C158" s="5"/>
      <c r="D158" s="5"/>
      <c r="H158" s="5"/>
    </row>
    <row r="159" spans="2:8" x14ac:dyDescent="0.25">
      <c r="B159" s="5"/>
      <c r="C159" s="5"/>
      <c r="D159" s="5"/>
      <c r="H159" s="5"/>
    </row>
    <row r="160" spans="2:8" x14ac:dyDescent="0.25">
      <c r="B160" s="5"/>
      <c r="C160" s="5"/>
      <c r="D160" s="5"/>
      <c r="H160" s="5"/>
    </row>
    <row r="161" spans="2:8" x14ac:dyDescent="0.25">
      <c r="B161" s="5"/>
      <c r="C161" s="5"/>
      <c r="D161" s="5"/>
      <c r="H161" s="5"/>
    </row>
    <row r="162" spans="2:8" x14ac:dyDescent="0.25">
      <c r="B162" s="5"/>
      <c r="C162" s="5"/>
      <c r="D162" s="5"/>
      <c r="H162" s="5"/>
    </row>
    <row r="163" spans="2:8" x14ac:dyDescent="0.25">
      <c r="B163" s="5"/>
      <c r="C163" s="5"/>
      <c r="D163" s="5"/>
      <c r="H163" s="5"/>
    </row>
    <row r="164" spans="2:8" x14ac:dyDescent="0.25">
      <c r="B164" s="5"/>
      <c r="C164" s="5"/>
      <c r="D164" s="5"/>
      <c r="H164" s="5"/>
    </row>
    <row r="165" spans="2:8" x14ac:dyDescent="0.25">
      <c r="B165" s="5"/>
      <c r="C165" s="5"/>
      <c r="D165" s="5"/>
      <c r="H165" s="5"/>
    </row>
    <row r="166" spans="2:8" x14ac:dyDescent="0.25">
      <c r="B166" s="5"/>
      <c r="C166" s="5"/>
      <c r="D166" s="5"/>
      <c r="H166" s="5"/>
    </row>
    <row r="167" spans="2:8" x14ac:dyDescent="0.25">
      <c r="B167" s="5"/>
      <c r="C167" s="5"/>
      <c r="D167" s="5"/>
      <c r="H167" s="5"/>
    </row>
    <row r="168" spans="2:8" x14ac:dyDescent="0.25">
      <c r="B168" s="5"/>
      <c r="C168" s="5"/>
      <c r="D168" s="5"/>
      <c r="H168" s="5"/>
    </row>
    <row r="169" spans="2:8" x14ac:dyDescent="0.25">
      <c r="B169" s="5"/>
      <c r="C169" s="5"/>
      <c r="D169" s="5"/>
      <c r="H169" s="5"/>
    </row>
    <row r="170" spans="2:8" x14ac:dyDescent="0.25">
      <c r="B170" s="5"/>
      <c r="C170" s="5"/>
      <c r="D170" s="5"/>
      <c r="H170" s="5"/>
    </row>
    <row r="171" spans="2:8" x14ac:dyDescent="0.25">
      <c r="B171" s="5"/>
      <c r="C171" s="5"/>
      <c r="D171" s="5"/>
      <c r="H171" s="5"/>
    </row>
    <row r="172" spans="2:8" x14ac:dyDescent="0.25">
      <c r="B172" s="5"/>
      <c r="C172" s="5"/>
      <c r="D172" s="5"/>
      <c r="H172" s="5"/>
    </row>
    <row r="173" spans="2:8" x14ac:dyDescent="0.25">
      <c r="B173" s="5"/>
      <c r="C173" s="5"/>
      <c r="D173" s="5"/>
      <c r="H173" s="5"/>
    </row>
    <row r="174" spans="2:8" x14ac:dyDescent="0.25">
      <c r="B174" s="5"/>
      <c r="C174" s="5"/>
      <c r="D174" s="5"/>
      <c r="H174" s="5"/>
    </row>
    <row r="175" spans="2:8" x14ac:dyDescent="0.25">
      <c r="B175" s="5"/>
      <c r="C175" s="5"/>
      <c r="D175" s="5"/>
      <c r="H175" s="5"/>
    </row>
    <row r="176" spans="2:8" x14ac:dyDescent="0.25">
      <c r="B176" s="5"/>
      <c r="C176" s="5"/>
      <c r="D176" s="5"/>
      <c r="H176" s="5"/>
    </row>
    <row r="177" spans="2:8" x14ac:dyDescent="0.25">
      <c r="B177" s="5"/>
      <c r="C177" s="5"/>
      <c r="D177" s="5"/>
      <c r="H177" s="5"/>
    </row>
    <row r="178" spans="2:8" x14ac:dyDescent="0.25">
      <c r="B178" s="5"/>
      <c r="C178" s="5"/>
      <c r="D178" s="5"/>
      <c r="H178" s="5"/>
    </row>
    <row r="179" spans="2:8" x14ac:dyDescent="0.25">
      <c r="B179" s="5"/>
      <c r="C179" s="5"/>
      <c r="D179" s="5"/>
      <c r="H179" s="5"/>
    </row>
    <row r="180" spans="2:8" x14ac:dyDescent="0.25">
      <c r="B180" s="5"/>
      <c r="C180" s="5"/>
      <c r="D180" s="5"/>
      <c r="H180" s="5"/>
    </row>
    <row r="181" spans="2:8" x14ac:dyDescent="0.25">
      <c r="B181" s="5"/>
      <c r="C181" s="5"/>
      <c r="D181" s="5"/>
      <c r="H181" s="5"/>
    </row>
    <row r="182" spans="2:8" x14ac:dyDescent="0.25">
      <c r="B182" s="5"/>
      <c r="C182" s="5"/>
      <c r="D182" s="5"/>
      <c r="H182" s="5"/>
    </row>
    <row r="183" spans="2:8" x14ac:dyDescent="0.25">
      <c r="B183" s="5"/>
      <c r="C183" s="5"/>
      <c r="D183" s="5"/>
      <c r="H183" s="5"/>
    </row>
    <row r="184" spans="2:8" x14ac:dyDescent="0.25">
      <c r="B184" s="5"/>
      <c r="C184" s="5"/>
      <c r="D184" s="5"/>
      <c r="H184" s="5"/>
    </row>
    <row r="185" spans="2:8" x14ac:dyDescent="0.25">
      <c r="B185" s="5"/>
      <c r="C185" s="5"/>
      <c r="D185" s="5"/>
      <c r="H185" s="5"/>
    </row>
    <row r="186" spans="2:8" x14ac:dyDescent="0.25">
      <c r="B186" s="5"/>
      <c r="C186" s="5"/>
      <c r="D186" s="5"/>
      <c r="H186" s="5"/>
    </row>
    <row r="187" spans="2:8" x14ac:dyDescent="0.25">
      <c r="B187" s="5"/>
      <c r="C187" s="5"/>
      <c r="D187" s="5"/>
      <c r="H187" s="5"/>
    </row>
    <row r="188" spans="2:8" x14ac:dyDescent="0.25">
      <c r="B188" s="5"/>
      <c r="C188" s="5"/>
      <c r="D188" s="5"/>
      <c r="H188" s="5"/>
    </row>
    <row r="189" spans="2:8" x14ac:dyDescent="0.25">
      <c r="B189" s="5"/>
      <c r="C189" s="5"/>
      <c r="D189" s="5"/>
      <c r="H189" s="5"/>
    </row>
    <row r="190" spans="2:8" x14ac:dyDescent="0.25">
      <c r="B190" s="5"/>
      <c r="C190" s="5"/>
      <c r="D190" s="5"/>
      <c r="H190" s="5"/>
    </row>
    <row r="191" spans="2:8" x14ac:dyDescent="0.25">
      <c r="B191" s="5"/>
      <c r="C191" s="5"/>
      <c r="D191" s="5"/>
      <c r="H191" s="5"/>
    </row>
    <row r="192" spans="2:8" x14ac:dyDescent="0.25">
      <c r="B192" s="5"/>
      <c r="C192" s="5"/>
      <c r="D192" s="5"/>
      <c r="H192" s="5"/>
    </row>
    <row r="193" spans="2:8" x14ac:dyDescent="0.25">
      <c r="B193" s="5"/>
      <c r="C193" s="5"/>
      <c r="D193" s="5"/>
      <c r="H193" s="5"/>
    </row>
    <row r="194" spans="2:8" x14ac:dyDescent="0.25">
      <c r="B194" s="5"/>
      <c r="C194" s="5"/>
      <c r="D194" s="5"/>
      <c r="H194" s="5"/>
    </row>
    <row r="195" spans="2:8" x14ac:dyDescent="0.25">
      <c r="B195" s="5"/>
      <c r="C195" s="5"/>
      <c r="D195" s="5"/>
      <c r="H195" s="5"/>
    </row>
    <row r="196" spans="2:8" x14ac:dyDescent="0.25">
      <c r="B196" s="5"/>
      <c r="C196" s="5"/>
      <c r="D196" s="5"/>
      <c r="H196" s="5"/>
    </row>
    <row r="197" spans="2:8" x14ac:dyDescent="0.25">
      <c r="B197" s="5"/>
      <c r="C197" s="5"/>
      <c r="D197" s="5"/>
      <c r="H197" s="5"/>
    </row>
    <row r="198" spans="2:8" x14ac:dyDescent="0.25">
      <c r="B198" s="5"/>
      <c r="C198" s="5"/>
      <c r="D198" s="5"/>
      <c r="H198" s="5"/>
    </row>
    <row r="199" spans="2:8" x14ac:dyDescent="0.25">
      <c r="B199" s="5"/>
      <c r="C199" s="5"/>
      <c r="D199" s="5"/>
      <c r="H199" s="5"/>
    </row>
    <row r="200" spans="2:8" x14ac:dyDescent="0.25">
      <c r="B200" s="5"/>
      <c r="C200" s="5"/>
      <c r="D200" s="5"/>
      <c r="H200" s="5"/>
    </row>
    <row r="201" spans="2:8" x14ac:dyDescent="0.25">
      <c r="B201" s="5"/>
      <c r="C201" s="5"/>
      <c r="D201" s="5"/>
      <c r="H201" s="5"/>
    </row>
    <row r="202" spans="2:8" x14ac:dyDescent="0.25">
      <c r="B202" s="5"/>
      <c r="C202" s="5"/>
      <c r="D202" s="5"/>
      <c r="H202" s="5"/>
    </row>
    <row r="203" spans="2:8" x14ac:dyDescent="0.25">
      <c r="B203" s="5"/>
      <c r="C203" s="5"/>
      <c r="D203" s="5"/>
      <c r="H203" s="5"/>
    </row>
    <row r="204" spans="2:8" x14ac:dyDescent="0.25">
      <c r="B204" s="5"/>
      <c r="C204" s="5"/>
      <c r="D204" s="5"/>
      <c r="H204" s="5"/>
    </row>
    <row r="205" spans="2:8" x14ac:dyDescent="0.25">
      <c r="B205" s="5"/>
      <c r="C205" s="5"/>
      <c r="D205" s="5"/>
      <c r="H205" s="5"/>
    </row>
    <row r="206" spans="2:8" x14ac:dyDescent="0.25">
      <c r="B206" s="5"/>
      <c r="C206" s="5"/>
      <c r="D206" s="5"/>
      <c r="H206" s="5"/>
    </row>
    <row r="207" spans="2:8" x14ac:dyDescent="0.25">
      <c r="B207" s="5"/>
      <c r="C207" s="5"/>
      <c r="D207" s="5"/>
      <c r="H207" s="5"/>
    </row>
    <row r="208" spans="2:8" x14ac:dyDescent="0.25">
      <c r="B208" s="5"/>
      <c r="C208" s="5"/>
      <c r="D208" s="5"/>
      <c r="H208" s="5"/>
    </row>
    <row r="209" spans="2:8" x14ac:dyDescent="0.25">
      <c r="B209" s="5"/>
      <c r="C209" s="5"/>
      <c r="D209" s="5"/>
      <c r="H209" s="5"/>
    </row>
    <row r="210" spans="2:8" x14ac:dyDescent="0.25">
      <c r="B210" s="5"/>
      <c r="C210" s="5"/>
      <c r="D210" s="5"/>
      <c r="H210" s="5"/>
    </row>
    <row r="211" spans="2:8" x14ac:dyDescent="0.25">
      <c r="B211" s="5"/>
      <c r="C211" s="5"/>
      <c r="D211" s="5"/>
      <c r="H211" s="5"/>
    </row>
    <row r="212" spans="2:8" x14ac:dyDescent="0.25">
      <c r="B212" s="5"/>
      <c r="C212" s="5"/>
      <c r="D212" s="5"/>
      <c r="H212" s="5"/>
    </row>
    <row r="213" spans="2:8" x14ac:dyDescent="0.25">
      <c r="B213" s="5"/>
      <c r="C213" s="5"/>
      <c r="D213" s="5"/>
      <c r="H213" s="5"/>
    </row>
    <row r="214" spans="2:8" x14ac:dyDescent="0.25">
      <c r="B214" s="5"/>
      <c r="C214" s="5"/>
      <c r="D214" s="5"/>
      <c r="H214" s="5"/>
    </row>
    <row r="215" spans="2:8" x14ac:dyDescent="0.25">
      <c r="B215" s="5"/>
      <c r="C215" s="5"/>
      <c r="D215" s="5"/>
      <c r="H215" s="5"/>
    </row>
    <row r="216" spans="2:8" x14ac:dyDescent="0.25">
      <c r="B216" s="5"/>
      <c r="C216" s="5"/>
      <c r="D216" s="5"/>
      <c r="H216" s="5"/>
    </row>
    <row r="217" spans="2:8" x14ac:dyDescent="0.25">
      <c r="B217" s="5"/>
      <c r="C217" s="5"/>
      <c r="D217" s="5"/>
      <c r="H217" s="5"/>
    </row>
    <row r="218" spans="2:8" x14ac:dyDescent="0.25">
      <c r="B218" s="5"/>
      <c r="C218" s="5"/>
      <c r="D218" s="5"/>
      <c r="H218" s="5"/>
    </row>
    <row r="219" spans="2:8" x14ac:dyDescent="0.25">
      <c r="B219" s="5"/>
      <c r="C219" s="5"/>
      <c r="D219" s="5"/>
      <c r="H219" s="5"/>
    </row>
    <row r="220" spans="2:8" x14ac:dyDescent="0.25">
      <c r="B220" s="5"/>
      <c r="C220" s="5"/>
      <c r="D220" s="5"/>
      <c r="H220" s="5"/>
    </row>
    <row r="221" spans="2:8" x14ac:dyDescent="0.25">
      <c r="B221" s="5"/>
      <c r="C221" s="5"/>
      <c r="D221" s="5"/>
      <c r="H221" s="5"/>
    </row>
    <row r="222" spans="2:8" x14ac:dyDescent="0.25">
      <c r="B222" s="5"/>
      <c r="C222" s="5"/>
      <c r="D222" s="5"/>
      <c r="H222" s="5"/>
    </row>
    <row r="223" spans="2:8" x14ac:dyDescent="0.25">
      <c r="B223" s="5"/>
      <c r="C223" s="5"/>
      <c r="D223" s="5"/>
      <c r="H223" s="5"/>
    </row>
    <row r="224" spans="2:8" x14ac:dyDescent="0.25">
      <c r="B224" s="5"/>
      <c r="C224" s="5"/>
      <c r="D224" s="5"/>
      <c r="H224" s="5"/>
    </row>
    <row r="225" spans="2:8" x14ac:dyDescent="0.25">
      <c r="B225" s="5"/>
      <c r="C225" s="5"/>
      <c r="D225" s="5"/>
      <c r="H225" s="5"/>
    </row>
    <row r="226" spans="2:8" x14ac:dyDescent="0.25">
      <c r="B226" s="5"/>
      <c r="C226" s="5"/>
      <c r="D226" s="5"/>
      <c r="H226" s="5"/>
    </row>
    <row r="227" spans="2:8" x14ac:dyDescent="0.25">
      <c r="B227" s="5"/>
      <c r="C227" s="5"/>
      <c r="D227" s="5"/>
      <c r="H227" s="5"/>
    </row>
    <row r="228" spans="2:8" x14ac:dyDescent="0.25">
      <c r="B228" s="5"/>
      <c r="C228" s="5"/>
      <c r="D228" s="5"/>
      <c r="H228" s="5"/>
    </row>
    <row r="229" spans="2:8" x14ac:dyDescent="0.25">
      <c r="B229" s="5"/>
      <c r="C229" s="5"/>
      <c r="D229" s="5"/>
      <c r="H229" s="5"/>
    </row>
    <row r="230" spans="2:8" x14ac:dyDescent="0.25">
      <c r="B230" s="5"/>
      <c r="C230" s="5"/>
      <c r="D230" s="5"/>
      <c r="H230" s="5"/>
    </row>
    <row r="231" spans="2:8" x14ac:dyDescent="0.25">
      <c r="B231" s="5"/>
      <c r="C231" s="5"/>
      <c r="D231" s="5"/>
      <c r="H231" s="5"/>
    </row>
    <row r="232" spans="2:8" x14ac:dyDescent="0.25">
      <c r="B232" s="5"/>
      <c r="C232" s="5"/>
      <c r="D232" s="5"/>
      <c r="H232" s="5"/>
    </row>
    <row r="233" spans="2:8" x14ac:dyDescent="0.25">
      <c r="B233" s="5"/>
      <c r="C233" s="5"/>
      <c r="D233" s="5"/>
      <c r="H233" s="5"/>
    </row>
    <row r="234" spans="2:8" x14ac:dyDescent="0.25">
      <c r="B234" s="5"/>
      <c r="C234" s="5"/>
      <c r="D234" s="5"/>
      <c r="H234" s="5"/>
    </row>
    <row r="235" spans="2:8" x14ac:dyDescent="0.25">
      <c r="B235" s="5"/>
      <c r="C235" s="5"/>
      <c r="D235" s="5"/>
      <c r="H235" s="5"/>
    </row>
    <row r="236" spans="2:8" x14ac:dyDescent="0.25">
      <c r="B236" s="5"/>
      <c r="C236" s="5"/>
      <c r="D236" s="5"/>
      <c r="H236" s="5"/>
    </row>
    <row r="237" spans="2:8" x14ac:dyDescent="0.25">
      <c r="B237" s="5"/>
      <c r="C237" s="5"/>
      <c r="D237" s="5"/>
      <c r="H237" s="5"/>
    </row>
    <row r="238" spans="2:8" x14ac:dyDescent="0.25">
      <c r="B238" s="5"/>
      <c r="C238" s="5"/>
      <c r="D238" s="5"/>
      <c r="H238" s="5"/>
    </row>
    <row r="239" spans="2:8" x14ac:dyDescent="0.25">
      <c r="B239" s="5"/>
      <c r="C239" s="5"/>
      <c r="D239" s="5"/>
      <c r="H239" s="5"/>
    </row>
    <row r="240" spans="2:8" x14ac:dyDescent="0.25">
      <c r="B240" s="5"/>
      <c r="C240" s="5"/>
      <c r="D240" s="5"/>
      <c r="H240" s="5"/>
    </row>
    <row r="241" spans="2:8" x14ac:dyDescent="0.25">
      <c r="B241" s="5"/>
      <c r="C241" s="5"/>
      <c r="D241" s="5"/>
      <c r="H241" s="5"/>
    </row>
    <row r="242" spans="2:8" x14ac:dyDescent="0.25">
      <c r="B242" s="5"/>
      <c r="C242" s="5"/>
      <c r="D242" s="5"/>
      <c r="H242" s="5"/>
    </row>
    <row r="243" spans="2:8" x14ac:dyDescent="0.25">
      <c r="B243" s="5"/>
      <c r="C243" s="5"/>
      <c r="D243" s="5"/>
      <c r="H243" s="5"/>
    </row>
    <row r="244" spans="2:8" x14ac:dyDescent="0.25">
      <c r="B244" s="5"/>
      <c r="C244" s="5"/>
      <c r="D244" s="5"/>
      <c r="H244" s="5"/>
    </row>
    <row r="245" spans="2:8" x14ac:dyDescent="0.25">
      <c r="B245" s="5"/>
      <c r="C245" s="5"/>
      <c r="D245" s="5"/>
      <c r="H245" s="5"/>
    </row>
    <row r="246" spans="2:8" x14ac:dyDescent="0.25">
      <c r="B246" s="5"/>
      <c r="C246" s="5"/>
      <c r="D246" s="5"/>
      <c r="H246" s="5"/>
    </row>
    <row r="247" spans="2:8" x14ac:dyDescent="0.25">
      <c r="B247" s="5"/>
      <c r="C247" s="5"/>
      <c r="D247" s="5"/>
      <c r="H247" s="5"/>
    </row>
    <row r="248" spans="2:8" x14ac:dyDescent="0.25">
      <c r="B248" s="5"/>
      <c r="C248" s="5"/>
      <c r="D248" s="5"/>
      <c r="H248" s="5"/>
    </row>
    <row r="249" spans="2:8" x14ac:dyDescent="0.25">
      <c r="B249" s="5"/>
      <c r="C249" s="5"/>
      <c r="D249" s="5"/>
      <c r="H249" s="5"/>
    </row>
    <row r="250" spans="2:8" x14ac:dyDescent="0.25">
      <c r="B250" s="5"/>
      <c r="C250" s="5"/>
      <c r="D250" s="5"/>
      <c r="H250" s="5"/>
    </row>
    <row r="251" spans="2:8" x14ac:dyDescent="0.25">
      <c r="B251" s="5"/>
      <c r="C251" s="5"/>
      <c r="D251" s="5"/>
      <c r="H251" s="5"/>
    </row>
    <row r="252" spans="2:8" x14ac:dyDescent="0.25">
      <c r="B252" s="5"/>
      <c r="C252" s="5"/>
      <c r="D252" s="5"/>
      <c r="H252" s="5"/>
    </row>
    <row r="253" spans="2:8" x14ac:dyDescent="0.25">
      <c r="B253" s="5"/>
      <c r="C253" s="5"/>
      <c r="D253" s="5"/>
      <c r="H253" s="5"/>
    </row>
    <row r="254" spans="2:8" x14ac:dyDescent="0.25">
      <c r="B254" s="5"/>
      <c r="C254" s="5"/>
      <c r="D254" s="5"/>
      <c r="H254" s="5"/>
    </row>
    <row r="255" spans="2:8" x14ac:dyDescent="0.25">
      <c r="B255" s="5"/>
      <c r="C255" s="5"/>
      <c r="D255" s="5"/>
      <c r="H255" s="5"/>
    </row>
    <row r="256" spans="2:8" x14ac:dyDescent="0.25">
      <c r="B256" s="5"/>
      <c r="C256" s="5"/>
      <c r="D256" s="5"/>
      <c r="H256" s="5"/>
    </row>
    <row r="257" spans="2:8" x14ac:dyDescent="0.25">
      <c r="B257" s="5"/>
      <c r="C257" s="5"/>
      <c r="D257" s="5"/>
      <c r="H257" s="5"/>
    </row>
    <row r="258" spans="2:8" x14ac:dyDescent="0.25">
      <c r="B258" s="5"/>
      <c r="C258" s="5"/>
      <c r="D258" s="5"/>
      <c r="H258" s="5"/>
    </row>
    <row r="259" spans="2:8" x14ac:dyDescent="0.25">
      <c r="B259" s="5"/>
      <c r="C259" s="5"/>
      <c r="D259" s="5"/>
      <c r="H259" s="5"/>
    </row>
    <row r="260" spans="2:8" x14ac:dyDescent="0.25">
      <c r="B260" s="5"/>
      <c r="C260" s="5"/>
      <c r="D260" s="5"/>
      <c r="H260" s="5"/>
    </row>
    <row r="261" spans="2:8" x14ac:dyDescent="0.25">
      <c r="B261" s="5"/>
      <c r="C261" s="5"/>
      <c r="D261" s="5"/>
      <c r="H261" s="5"/>
    </row>
    <row r="262" spans="2:8" x14ac:dyDescent="0.25">
      <c r="B262" s="5"/>
      <c r="C262" s="5"/>
      <c r="D262" s="5"/>
      <c r="H262" s="5"/>
    </row>
    <row r="263" spans="2:8" x14ac:dyDescent="0.25">
      <c r="B263" s="5"/>
      <c r="C263" s="5"/>
      <c r="D263" s="5"/>
      <c r="H263" s="5"/>
    </row>
    <row r="264" spans="2:8" x14ac:dyDescent="0.25">
      <c r="B264" s="5"/>
      <c r="C264" s="5"/>
      <c r="D264" s="5"/>
      <c r="H264" s="5"/>
    </row>
    <row r="265" spans="2:8" x14ac:dyDescent="0.25">
      <c r="B265" s="5"/>
      <c r="C265" s="5"/>
      <c r="D265" s="5"/>
      <c r="H265" s="5"/>
    </row>
    <row r="266" spans="2:8" x14ac:dyDescent="0.25">
      <c r="B266" s="5"/>
      <c r="C266" s="5"/>
      <c r="D266" s="5"/>
      <c r="H266" s="5"/>
    </row>
    <row r="267" spans="2:8" x14ac:dyDescent="0.25">
      <c r="B267" s="5"/>
      <c r="C267" s="5"/>
      <c r="D267" s="5"/>
      <c r="H267" s="5"/>
    </row>
    <row r="268" spans="2:8" x14ac:dyDescent="0.25">
      <c r="B268" s="5"/>
      <c r="C268" s="5"/>
      <c r="D268" s="5"/>
      <c r="H268" s="5"/>
    </row>
    <row r="269" spans="2:8" x14ac:dyDescent="0.25">
      <c r="B269" s="5"/>
      <c r="C269" s="5"/>
      <c r="D269" s="5"/>
      <c r="H269" s="5"/>
    </row>
    <row r="270" spans="2:8" x14ac:dyDescent="0.25">
      <c r="B270" s="5"/>
      <c r="C270" s="5"/>
      <c r="D270" s="5"/>
      <c r="H270" s="5"/>
    </row>
    <row r="271" spans="2:8" x14ac:dyDescent="0.25">
      <c r="B271" s="5"/>
      <c r="C271" s="5"/>
      <c r="D271" s="5"/>
      <c r="H271" s="5"/>
    </row>
    <row r="272" spans="2:8" x14ac:dyDescent="0.25">
      <c r="B272" s="5"/>
      <c r="C272" s="5"/>
      <c r="D272" s="5"/>
      <c r="H272" s="5"/>
    </row>
    <row r="273" spans="2:8" x14ac:dyDescent="0.25">
      <c r="B273" s="5"/>
      <c r="C273" s="5"/>
      <c r="D273" s="5"/>
      <c r="H273" s="5"/>
    </row>
    <row r="274" spans="2:8" x14ac:dyDescent="0.25">
      <c r="B274" s="5"/>
      <c r="C274" s="5"/>
      <c r="D274" s="5"/>
      <c r="H274" s="5"/>
    </row>
    <row r="275" spans="2:8" x14ac:dyDescent="0.25">
      <c r="B275" s="5"/>
      <c r="C275" s="5"/>
      <c r="D275" s="5"/>
      <c r="H275" s="5"/>
    </row>
    <row r="276" spans="2:8" x14ac:dyDescent="0.25">
      <c r="B276" s="5"/>
      <c r="C276" s="5"/>
      <c r="D276" s="5"/>
      <c r="H276" s="5"/>
    </row>
    <row r="277" spans="2:8" x14ac:dyDescent="0.25">
      <c r="B277" s="5"/>
      <c r="C277" s="5"/>
      <c r="D277" s="5"/>
      <c r="H277" s="5"/>
    </row>
    <row r="278" spans="2:8" x14ac:dyDescent="0.25">
      <c r="B278" s="5"/>
      <c r="C278" s="5"/>
      <c r="D278" s="5"/>
      <c r="H278" s="5"/>
    </row>
    <row r="279" spans="2:8" x14ac:dyDescent="0.25">
      <c r="B279" s="5"/>
      <c r="C279" s="5"/>
      <c r="D279" s="5"/>
      <c r="H279" s="5"/>
    </row>
    <row r="280" spans="2:8" x14ac:dyDescent="0.25">
      <c r="B280" s="5"/>
      <c r="C280" s="5"/>
      <c r="D280" s="5"/>
      <c r="H280" s="5"/>
    </row>
    <row r="281" spans="2:8" x14ac:dyDescent="0.25">
      <c r="B281" s="5"/>
      <c r="C281" s="5"/>
      <c r="D281" s="5"/>
      <c r="H281" s="5"/>
    </row>
    <row r="282" spans="2:8" x14ac:dyDescent="0.25">
      <c r="B282" s="5"/>
      <c r="C282" s="5"/>
      <c r="D282" s="5"/>
      <c r="H282" s="5"/>
    </row>
    <row r="283" spans="2:8" x14ac:dyDescent="0.25">
      <c r="B283" s="5"/>
      <c r="C283" s="5"/>
      <c r="D283" s="5"/>
      <c r="H283" s="5"/>
    </row>
    <row r="284" spans="2:8" x14ac:dyDescent="0.25">
      <c r="B284" s="5"/>
      <c r="C284" s="5"/>
      <c r="D284" s="5"/>
      <c r="H284" s="5"/>
    </row>
    <row r="285" spans="2:8" x14ac:dyDescent="0.25">
      <c r="B285" s="5"/>
      <c r="C285" s="5"/>
      <c r="D285" s="5"/>
      <c r="H285" s="5"/>
    </row>
    <row r="286" spans="2:8" x14ac:dyDescent="0.25">
      <c r="B286" s="5"/>
      <c r="C286" s="5"/>
      <c r="D286" s="5"/>
      <c r="H286" s="5"/>
    </row>
    <row r="287" spans="2:8" x14ac:dyDescent="0.25">
      <c r="B287" s="5"/>
      <c r="C287" s="5"/>
      <c r="D287" s="5"/>
      <c r="H287" s="5"/>
    </row>
    <row r="288" spans="2:8" x14ac:dyDescent="0.25">
      <c r="B288" s="5"/>
      <c r="C288" s="5"/>
      <c r="D288" s="5"/>
      <c r="H288" s="5"/>
    </row>
    <row r="289" spans="2:8" x14ac:dyDescent="0.25">
      <c r="B289" s="5"/>
      <c r="C289" s="5"/>
      <c r="D289" s="5"/>
      <c r="H289" s="5"/>
    </row>
    <row r="290" spans="2:8" x14ac:dyDescent="0.25">
      <c r="B290" s="5"/>
      <c r="C290" s="5"/>
      <c r="D290" s="5"/>
      <c r="H290" s="5"/>
    </row>
    <row r="291" spans="2:8" x14ac:dyDescent="0.25">
      <c r="B291" s="5"/>
      <c r="C291" s="5"/>
      <c r="D291" s="5"/>
      <c r="H291" s="5"/>
    </row>
    <row r="292" spans="2:8" x14ac:dyDescent="0.25">
      <c r="B292" s="5"/>
      <c r="C292" s="5"/>
      <c r="D292" s="5"/>
      <c r="H292" s="5"/>
    </row>
    <row r="293" spans="2:8" x14ac:dyDescent="0.25">
      <c r="B293" s="5"/>
      <c r="C293" s="5"/>
      <c r="D293" s="5"/>
      <c r="H293" s="5"/>
    </row>
    <row r="294" spans="2:8" x14ac:dyDescent="0.25">
      <c r="B294" s="5"/>
      <c r="C294" s="5"/>
      <c r="D294" s="5"/>
      <c r="H294" s="5"/>
    </row>
    <row r="295" spans="2:8" x14ac:dyDescent="0.25">
      <c r="B295" s="5"/>
      <c r="C295" s="5"/>
      <c r="D295" s="5"/>
      <c r="H295" s="5"/>
    </row>
    <row r="296" spans="2:8" x14ac:dyDescent="0.25">
      <c r="B296" s="5"/>
      <c r="C296" s="5"/>
      <c r="D296" s="5"/>
      <c r="H296" s="5"/>
    </row>
    <row r="297" spans="2:8" x14ac:dyDescent="0.25">
      <c r="B297" s="5"/>
      <c r="C297" s="5"/>
      <c r="D297" s="5"/>
      <c r="H297" s="5"/>
    </row>
    <row r="298" spans="2:8" x14ac:dyDescent="0.25">
      <c r="B298" s="5"/>
      <c r="C298" s="5"/>
      <c r="D298" s="5"/>
      <c r="H298" s="5"/>
    </row>
    <row r="299" spans="2:8" x14ac:dyDescent="0.25">
      <c r="B299" s="5"/>
      <c r="C299" s="5"/>
      <c r="D299" s="5"/>
      <c r="H299" s="5"/>
    </row>
    <row r="300" spans="2:8" x14ac:dyDescent="0.25">
      <c r="B300" s="5"/>
      <c r="C300" s="5"/>
      <c r="D300" s="5"/>
      <c r="H300" s="5"/>
    </row>
    <row r="301" spans="2:8" x14ac:dyDescent="0.25">
      <c r="B301" s="5"/>
      <c r="C301" s="5"/>
      <c r="D301" s="5"/>
      <c r="H301" s="5"/>
    </row>
    <row r="302" spans="2:8" x14ac:dyDescent="0.25">
      <c r="B302" s="5"/>
      <c r="C302" s="5"/>
      <c r="D302" s="5"/>
      <c r="H302" s="5"/>
    </row>
    <row r="303" spans="2:8" x14ac:dyDescent="0.25">
      <c r="B303" s="5"/>
      <c r="C303" s="5"/>
      <c r="D303" s="5"/>
      <c r="H303" s="5"/>
    </row>
    <row r="304" spans="2:8" x14ac:dyDescent="0.25">
      <c r="B304" s="5"/>
      <c r="C304" s="5"/>
      <c r="D304" s="5"/>
      <c r="H304" s="5"/>
    </row>
    <row r="305" spans="2:8" x14ac:dyDescent="0.25">
      <c r="B305" s="5"/>
      <c r="C305" s="5"/>
      <c r="D305" s="5"/>
      <c r="H305" s="5"/>
    </row>
    <row r="306" spans="2:8" x14ac:dyDescent="0.25">
      <c r="B306" s="5"/>
      <c r="C306" s="5"/>
      <c r="D306" s="5"/>
      <c r="H306" s="5"/>
    </row>
    <row r="307" spans="2:8" x14ac:dyDescent="0.25">
      <c r="B307" s="5"/>
      <c r="C307" s="5"/>
      <c r="D307" s="5"/>
      <c r="H307" s="5"/>
    </row>
    <row r="308" spans="2:8" x14ac:dyDescent="0.25">
      <c r="B308" s="5"/>
      <c r="C308" s="5"/>
      <c r="D308" s="5"/>
      <c r="H308" s="5"/>
    </row>
    <row r="309" spans="2:8" x14ac:dyDescent="0.25">
      <c r="B309" s="5"/>
      <c r="C309" s="5"/>
      <c r="D309" s="5"/>
      <c r="H309" s="5"/>
    </row>
    <row r="310" spans="2:8" x14ac:dyDescent="0.25">
      <c r="B310" s="5"/>
      <c r="C310" s="5"/>
      <c r="D310" s="5"/>
      <c r="H310" s="5"/>
    </row>
    <row r="311" spans="2:8" x14ac:dyDescent="0.25">
      <c r="B311" s="5"/>
      <c r="C311" s="5"/>
      <c r="D311" s="5"/>
      <c r="H311" s="5"/>
    </row>
    <row r="312" spans="2:8" x14ac:dyDescent="0.25">
      <c r="B312" s="5"/>
      <c r="C312" s="5"/>
      <c r="D312" s="5"/>
      <c r="H312" s="5"/>
    </row>
    <row r="313" spans="2:8" x14ac:dyDescent="0.25">
      <c r="B313" s="5"/>
      <c r="C313" s="5"/>
      <c r="D313" s="5"/>
      <c r="H313" s="5"/>
    </row>
    <row r="314" spans="2:8" x14ac:dyDescent="0.25">
      <c r="B314" s="5"/>
      <c r="C314" s="5"/>
      <c r="D314" s="5"/>
      <c r="H314" s="5"/>
    </row>
    <row r="315" spans="2:8" x14ac:dyDescent="0.25">
      <c r="B315" s="5"/>
      <c r="C315" s="5"/>
      <c r="D315" s="5"/>
      <c r="H315" s="5"/>
    </row>
    <row r="316" spans="2:8" x14ac:dyDescent="0.25">
      <c r="B316" s="5"/>
      <c r="C316" s="5"/>
      <c r="D316" s="5"/>
      <c r="H316" s="5"/>
    </row>
    <row r="317" spans="2:8" x14ac:dyDescent="0.25">
      <c r="B317" s="5"/>
      <c r="C317" s="5"/>
      <c r="D317" s="5"/>
      <c r="H317" s="5"/>
    </row>
    <row r="318" spans="2:8" x14ac:dyDescent="0.25">
      <c r="B318" s="5"/>
      <c r="C318" s="5"/>
      <c r="D318" s="5"/>
      <c r="H318" s="5"/>
    </row>
    <row r="319" spans="2:8" x14ac:dyDescent="0.25">
      <c r="B319" s="5"/>
      <c r="C319" s="5"/>
      <c r="D319" s="5"/>
      <c r="H319" s="5"/>
    </row>
    <row r="320" spans="2:8" x14ac:dyDescent="0.25">
      <c r="B320" s="5"/>
      <c r="C320" s="5"/>
      <c r="D320" s="5"/>
      <c r="H320" s="5"/>
    </row>
    <row r="321" spans="2:8" x14ac:dyDescent="0.25">
      <c r="B321" s="5"/>
      <c r="C321" s="5"/>
      <c r="D321" s="5"/>
      <c r="H321" s="5"/>
    </row>
    <row r="322" spans="2:8" x14ac:dyDescent="0.25">
      <c r="B322" s="5"/>
      <c r="C322" s="5"/>
      <c r="D322" s="5"/>
      <c r="H322" s="5"/>
    </row>
    <row r="323" spans="2:8" x14ac:dyDescent="0.25">
      <c r="B323" s="5"/>
      <c r="C323" s="5"/>
      <c r="D323" s="5"/>
      <c r="H323" s="5"/>
    </row>
    <row r="324" spans="2:8" x14ac:dyDescent="0.25">
      <c r="B324" s="5"/>
      <c r="C324" s="5"/>
      <c r="D324" s="5"/>
      <c r="H324" s="5"/>
    </row>
    <row r="325" spans="2:8" x14ac:dyDescent="0.25">
      <c r="B325" s="5"/>
      <c r="C325" s="5"/>
      <c r="D325" s="5"/>
      <c r="H325" s="5"/>
    </row>
    <row r="326" spans="2:8" x14ac:dyDescent="0.25">
      <c r="B326" s="5"/>
      <c r="C326" s="5"/>
      <c r="D326" s="5"/>
      <c r="H326" s="5"/>
    </row>
    <row r="327" spans="2:8" x14ac:dyDescent="0.25">
      <c r="B327" s="5"/>
      <c r="C327" s="5"/>
      <c r="D327" s="5"/>
      <c r="H327" s="5"/>
    </row>
    <row r="328" spans="2:8" x14ac:dyDescent="0.25">
      <c r="B328" s="5"/>
      <c r="C328" s="5"/>
      <c r="D328" s="5"/>
      <c r="H328" s="5"/>
    </row>
    <row r="329" spans="2:8" x14ac:dyDescent="0.25">
      <c r="B329" s="5"/>
      <c r="C329" s="5"/>
      <c r="D329" s="5"/>
      <c r="H329" s="5"/>
    </row>
    <row r="330" spans="2:8" x14ac:dyDescent="0.25">
      <c r="B330" s="5"/>
      <c r="C330" s="5"/>
      <c r="D330" s="5"/>
      <c r="H330" s="5"/>
    </row>
    <row r="331" spans="2:8" x14ac:dyDescent="0.25">
      <c r="B331" s="5"/>
      <c r="C331" s="5"/>
      <c r="D331" s="5"/>
      <c r="H331" s="5"/>
    </row>
    <row r="332" spans="2:8" x14ac:dyDescent="0.25">
      <c r="B332" s="5"/>
      <c r="C332" s="5"/>
      <c r="D332" s="5"/>
      <c r="H332" s="5"/>
    </row>
    <row r="333" spans="2:8" x14ac:dyDescent="0.25">
      <c r="B333" s="5"/>
      <c r="C333" s="5"/>
      <c r="D333" s="5"/>
      <c r="H333" s="5"/>
    </row>
    <row r="334" spans="2:8" x14ac:dyDescent="0.25">
      <c r="B334" s="5"/>
      <c r="C334" s="5"/>
      <c r="D334" s="5"/>
      <c r="H334" s="5"/>
    </row>
    <row r="335" spans="2:8" x14ac:dyDescent="0.25">
      <c r="B335" s="5"/>
      <c r="C335" s="5"/>
      <c r="D335" s="5"/>
      <c r="H335" s="5"/>
    </row>
    <row r="336" spans="2:8" x14ac:dyDescent="0.25">
      <c r="B336" s="5"/>
      <c r="C336" s="5"/>
      <c r="D336" s="5"/>
      <c r="H336" s="5"/>
    </row>
    <row r="337" spans="2:8" x14ac:dyDescent="0.25">
      <c r="B337" s="5"/>
      <c r="C337" s="5"/>
      <c r="D337" s="5"/>
      <c r="H337" s="5"/>
    </row>
    <row r="338" spans="2:8" x14ac:dyDescent="0.25">
      <c r="B338" s="5"/>
      <c r="C338" s="5"/>
      <c r="D338" s="5"/>
      <c r="H338" s="5"/>
    </row>
    <row r="339" spans="2:8" x14ac:dyDescent="0.25">
      <c r="B339" s="5"/>
      <c r="C339" s="5"/>
      <c r="D339" s="5"/>
      <c r="H339" s="5"/>
    </row>
    <row r="340" spans="2:8" x14ac:dyDescent="0.25">
      <c r="B340" s="5"/>
      <c r="C340" s="5"/>
      <c r="D340" s="5"/>
      <c r="H340" s="5"/>
    </row>
    <row r="341" spans="2:8" x14ac:dyDescent="0.25">
      <c r="B341" s="5"/>
      <c r="C341" s="5"/>
      <c r="D341" s="5"/>
      <c r="H341" s="5"/>
    </row>
    <row r="342" spans="2:8" x14ac:dyDescent="0.25">
      <c r="B342" s="5"/>
      <c r="C342" s="5"/>
      <c r="D342" s="5"/>
      <c r="H342" s="5"/>
    </row>
    <row r="343" spans="2:8" x14ac:dyDescent="0.25">
      <c r="B343" s="5"/>
      <c r="C343" s="5"/>
      <c r="D343" s="5"/>
      <c r="H343" s="5"/>
    </row>
    <row r="344" spans="2:8" x14ac:dyDescent="0.25">
      <c r="B344" s="5"/>
      <c r="C344" s="5"/>
      <c r="D344" s="5"/>
      <c r="H344" s="5"/>
    </row>
    <row r="345" spans="2:8" x14ac:dyDescent="0.25">
      <c r="B345" s="5"/>
      <c r="C345" s="5"/>
      <c r="D345" s="5"/>
      <c r="H345" s="5"/>
    </row>
    <row r="346" spans="2:8" x14ac:dyDescent="0.25">
      <c r="B346" s="5"/>
      <c r="C346" s="5"/>
      <c r="D346" s="5"/>
      <c r="H346" s="5"/>
    </row>
    <row r="347" spans="2:8" x14ac:dyDescent="0.25">
      <c r="B347" s="5"/>
      <c r="C347" s="5"/>
      <c r="D347" s="5"/>
      <c r="H347" s="5"/>
    </row>
    <row r="348" spans="2:8" x14ac:dyDescent="0.25">
      <c r="B348" s="5"/>
      <c r="C348" s="5"/>
      <c r="D348" s="5"/>
      <c r="H348" s="5"/>
    </row>
    <row r="349" spans="2:8" x14ac:dyDescent="0.25">
      <c r="B349" s="5"/>
      <c r="C349" s="5"/>
      <c r="D349" s="5"/>
      <c r="H349" s="5"/>
    </row>
    <row r="350" spans="2:8" x14ac:dyDescent="0.25">
      <c r="B350" s="5"/>
      <c r="C350" s="5"/>
      <c r="D350" s="5"/>
      <c r="H350" s="5"/>
    </row>
    <row r="351" spans="2:8" x14ac:dyDescent="0.25">
      <c r="B351" s="5"/>
      <c r="C351" s="5"/>
      <c r="D351" s="5"/>
      <c r="H351" s="5"/>
    </row>
    <row r="352" spans="2:8" x14ac:dyDescent="0.25">
      <c r="B352" s="5"/>
      <c r="C352" s="5"/>
      <c r="D352" s="5"/>
      <c r="H352" s="5"/>
    </row>
    <row r="353" spans="2:8" x14ac:dyDescent="0.25">
      <c r="B353" s="5"/>
      <c r="C353" s="5"/>
      <c r="D353" s="5"/>
      <c r="H353" s="5"/>
    </row>
    <row r="354" spans="2:8" x14ac:dyDescent="0.25">
      <c r="B354" s="5"/>
      <c r="C354" s="5"/>
      <c r="D354" s="5"/>
      <c r="H354" s="5"/>
    </row>
    <row r="355" spans="2:8" x14ac:dyDescent="0.25">
      <c r="B355" s="5"/>
      <c r="C355" s="5"/>
      <c r="D355" s="5"/>
      <c r="H355" s="5"/>
    </row>
    <row r="356" spans="2:8" x14ac:dyDescent="0.25">
      <c r="B356" s="5"/>
      <c r="C356" s="5"/>
      <c r="D356" s="5"/>
      <c r="H356" s="5"/>
    </row>
    <row r="357" spans="2:8" x14ac:dyDescent="0.25">
      <c r="B357" s="5"/>
      <c r="C357" s="5"/>
      <c r="D357" s="5"/>
      <c r="H357" s="5"/>
    </row>
    <row r="358" spans="2:8" x14ac:dyDescent="0.25">
      <c r="B358" s="5"/>
      <c r="C358" s="5"/>
      <c r="D358" s="5"/>
      <c r="H358" s="5"/>
    </row>
    <row r="359" spans="2:8" x14ac:dyDescent="0.25">
      <c r="B359" s="5"/>
      <c r="C359" s="5"/>
      <c r="D359" s="5"/>
      <c r="H359" s="5"/>
    </row>
    <row r="360" spans="2:8" x14ac:dyDescent="0.25">
      <c r="B360" s="5"/>
      <c r="C360" s="5"/>
      <c r="D360" s="5"/>
      <c r="H360" s="5"/>
    </row>
    <row r="361" spans="2:8" x14ac:dyDescent="0.25">
      <c r="B361" s="5"/>
      <c r="C361" s="5"/>
      <c r="D361" s="5"/>
      <c r="H361" s="5"/>
    </row>
    <row r="362" spans="2:8" x14ac:dyDescent="0.25">
      <c r="B362" s="5"/>
      <c r="C362" s="5"/>
      <c r="D362" s="5"/>
      <c r="H362" s="5"/>
    </row>
    <row r="363" spans="2:8" x14ac:dyDescent="0.25">
      <c r="B363" s="5"/>
      <c r="C363" s="5"/>
      <c r="D363" s="5"/>
      <c r="H363" s="5"/>
    </row>
    <row r="364" spans="2:8" x14ac:dyDescent="0.25">
      <c r="B364" s="5"/>
      <c r="C364" s="5"/>
      <c r="D364" s="5"/>
      <c r="H364" s="5"/>
    </row>
    <row r="365" spans="2:8" x14ac:dyDescent="0.25">
      <c r="B365" s="5"/>
      <c r="C365" s="5"/>
      <c r="D365" s="5"/>
      <c r="H365" s="5"/>
    </row>
    <row r="366" spans="2:8" x14ac:dyDescent="0.25">
      <c r="B366" s="5"/>
      <c r="C366" s="5"/>
      <c r="D366" s="5"/>
      <c r="H366" s="5"/>
    </row>
    <row r="367" spans="2:8" x14ac:dyDescent="0.25">
      <c r="B367" s="5"/>
      <c r="C367" s="5"/>
      <c r="D367" s="5"/>
      <c r="H367" s="5"/>
    </row>
    <row r="368" spans="2:8" x14ac:dyDescent="0.25">
      <c r="B368" s="5"/>
      <c r="C368" s="5"/>
      <c r="D368" s="5"/>
      <c r="H368" s="5"/>
    </row>
    <row r="369" spans="2:8" x14ac:dyDescent="0.25">
      <c r="B369" s="5"/>
      <c r="C369" s="5"/>
      <c r="D369" s="5"/>
      <c r="H369" s="5"/>
    </row>
    <row r="370" spans="2:8" x14ac:dyDescent="0.25">
      <c r="B370" s="5"/>
      <c r="C370" s="5"/>
      <c r="D370" s="5"/>
      <c r="H370" s="5"/>
    </row>
    <row r="371" spans="2:8" x14ac:dyDescent="0.25">
      <c r="B371" s="5"/>
      <c r="C371" s="5"/>
      <c r="D371" s="5"/>
      <c r="H371" s="5"/>
    </row>
    <row r="372" spans="2:8" x14ac:dyDescent="0.25">
      <c r="B372" s="5"/>
      <c r="C372" s="5"/>
      <c r="D372" s="5"/>
      <c r="H372" s="5"/>
    </row>
    <row r="373" spans="2:8" x14ac:dyDescent="0.25">
      <c r="B373" s="5"/>
      <c r="C373" s="5"/>
      <c r="D373" s="5"/>
      <c r="H373" s="5"/>
    </row>
    <row r="374" spans="2:8" x14ac:dyDescent="0.25">
      <c r="B374" s="5"/>
      <c r="C374" s="5"/>
      <c r="D374" s="5"/>
      <c r="H374" s="5"/>
    </row>
    <row r="375" spans="2:8" x14ac:dyDescent="0.25">
      <c r="B375" s="5"/>
      <c r="C375" s="5"/>
      <c r="D375" s="5"/>
      <c r="H375" s="5"/>
    </row>
    <row r="376" spans="2:8" x14ac:dyDescent="0.25">
      <c r="B376" s="5"/>
      <c r="C376" s="5"/>
      <c r="D376" s="5"/>
      <c r="H376" s="5"/>
    </row>
    <row r="377" spans="2:8" x14ac:dyDescent="0.25">
      <c r="B377" s="5"/>
      <c r="C377" s="5"/>
      <c r="D377" s="5"/>
      <c r="H377" s="5"/>
    </row>
    <row r="378" spans="2:8" x14ac:dyDescent="0.25">
      <c r="B378" s="5"/>
      <c r="C378" s="5"/>
      <c r="D378" s="5"/>
      <c r="H378" s="5"/>
    </row>
    <row r="379" spans="2:8" x14ac:dyDescent="0.25">
      <c r="B379" s="5"/>
      <c r="C379" s="5"/>
      <c r="D379" s="5"/>
      <c r="H379" s="5"/>
    </row>
    <row r="380" spans="2:8" x14ac:dyDescent="0.25">
      <c r="B380" s="5"/>
      <c r="C380" s="5"/>
      <c r="D380" s="5"/>
      <c r="H380" s="5"/>
    </row>
    <row r="381" spans="2:8" x14ac:dyDescent="0.25">
      <c r="B381" s="5"/>
      <c r="C381" s="5"/>
      <c r="D381" s="5"/>
      <c r="H381" s="5"/>
    </row>
    <row r="382" spans="2:8" x14ac:dyDescent="0.25">
      <c r="B382" s="5"/>
      <c r="C382" s="5"/>
      <c r="D382" s="5"/>
      <c r="H382" s="5"/>
    </row>
    <row r="383" spans="2:8" x14ac:dyDescent="0.25">
      <c r="B383" s="5"/>
      <c r="C383" s="5"/>
      <c r="D383" s="5"/>
      <c r="H383" s="5"/>
    </row>
    <row r="384" spans="2:8" x14ac:dyDescent="0.25">
      <c r="B384" s="5"/>
      <c r="C384" s="5"/>
      <c r="D384" s="5"/>
      <c r="H384" s="5"/>
    </row>
    <row r="385" spans="2:8" x14ac:dyDescent="0.25">
      <c r="B385" s="5"/>
      <c r="C385" s="5"/>
      <c r="D385" s="5"/>
      <c r="H385" s="5"/>
    </row>
    <row r="386" spans="2:8" x14ac:dyDescent="0.25">
      <c r="B386" s="5"/>
      <c r="C386" s="5"/>
      <c r="D386" s="5"/>
      <c r="H386" s="5"/>
    </row>
    <row r="387" spans="2:8" x14ac:dyDescent="0.25">
      <c r="B387" s="5"/>
      <c r="C387" s="5"/>
      <c r="D387" s="5"/>
      <c r="H387" s="5"/>
    </row>
    <row r="388" spans="2:8" x14ac:dyDescent="0.25">
      <c r="B388" s="5"/>
      <c r="C388" s="5"/>
      <c r="D388" s="5"/>
      <c r="H388" s="5"/>
    </row>
    <row r="389" spans="2:8" x14ac:dyDescent="0.25">
      <c r="B389" s="5"/>
      <c r="C389" s="5"/>
      <c r="D389" s="5"/>
      <c r="H389" s="5"/>
    </row>
    <row r="390" spans="2:8" x14ac:dyDescent="0.25">
      <c r="B390" s="5"/>
      <c r="C390" s="5"/>
      <c r="D390" s="5"/>
      <c r="H390" s="5"/>
    </row>
    <row r="391" spans="2:8" x14ac:dyDescent="0.25">
      <c r="B391" s="5"/>
      <c r="C391" s="5"/>
      <c r="D391" s="5"/>
      <c r="H391" s="5"/>
    </row>
    <row r="392" spans="2:8" x14ac:dyDescent="0.25">
      <c r="B392" s="5"/>
      <c r="C392" s="5"/>
      <c r="D392" s="5"/>
      <c r="H392" s="5"/>
    </row>
    <row r="393" spans="2:8" x14ac:dyDescent="0.25">
      <c r="B393" s="5"/>
      <c r="C393" s="5"/>
      <c r="D393" s="5"/>
      <c r="H393" s="5"/>
    </row>
    <row r="394" spans="2:8" x14ac:dyDescent="0.25">
      <c r="B394" s="5"/>
      <c r="C394" s="5"/>
      <c r="D394" s="5"/>
      <c r="H394" s="5"/>
    </row>
    <row r="395" spans="2:8" x14ac:dyDescent="0.25">
      <c r="B395" s="5"/>
      <c r="C395" s="5"/>
      <c r="D395" s="5"/>
      <c r="H395" s="5"/>
    </row>
    <row r="396" spans="2:8" x14ac:dyDescent="0.25">
      <c r="B396" s="5"/>
      <c r="C396" s="5"/>
      <c r="D396" s="5"/>
      <c r="H396" s="5"/>
    </row>
    <row r="397" spans="2:8" x14ac:dyDescent="0.25">
      <c r="B397" s="5"/>
      <c r="C397" s="5"/>
      <c r="D397" s="5"/>
      <c r="H397" s="5"/>
    </row>
    <row r="398" spans="2:8" x14ac:dyDescent="0.25">
      <c r="B398" s="5"/>
      <c r="C398" s="5"/>
      <c r="D398" s="5"/>
      <c r="H398" s="5"/>
    </row>
    <row r="399" spans="2:8" x14ac:dyDescent="0.25">
      <c r="B399" s="5"/>
      <c r="C399" s="5"/>
      <c r="D399" s="5"/>
      <c r="H399" s="5"/>
    </row>
    <row r="400" spans="2:8" x14ac:dyDescent="0.25">
      <c r="B400" s="5"/>
      <c r="C400" s="5"/>
      <c r="D400" s="5"/>
      <c r="H400" s="5"/>
    </row>
    <row r="401" spans="2:8" x14ac:dyDescent="0.25">
      <c r="B401" s="5"/>
      <c r="C401" s="5"/>
      <c r="D401" s="5"/>
      <c r="H401" s="5"/>
    </row>
    <row r="402" spans="2:8" x14ac:dyDescent="0.25">
      <c r="B402" s="5"/>
      <c r="C402" s="5"/>
      <c r="D402" s="5"/>
      <c r="H402" s="5"/>
    </row>
    <row r="403" spans="2:8" x14ac:dyDescent="0.25">
      <c r="B403" s="5"/>
      <c r="C403" s="5"/>
      <c r="D403" s="5"/>
      <c r="H403" s="5"/>
    </row>
    <row r="404" spans="2:8" x14ac:dyDescent="0.25">
      <c r="B404" s="5"/>
      <c r="C404" s="5"/>
      <c r="D404" s="5"/>
      <c r="H404" s="5"/>
    </row>
    <row r="405" spans="2:8" x14ac:dyDescent="0.25">
      <c r="B405" s="5"/>
      <c r="C405" s="5"/>
      <c r="D405" s="5"/>
      <c r="H405" s="5"/>
    </row>
    <row r="406" spans="2:8" x14ac:dyDescent="0.25">
      <c r="B406" s="5"/>
      <c r="C406" s="5"/>
      <c r="D406" s="5"/>
      <c r="H406" s="5"/>
    </row>
    <row r="407" spans="2:8" x14ac:dyDescent="0.25">
      <c r="B407" s="5"/>
      <c r="C407" s="5"/>
      <c r="D407" s="5"/>
      <c r="H407" s="5"/>
    </row>
    <row r="408" spans="2:8" x14ac:dyDescent="0.25">
      <c r="B408" s="5"/>
      <c r="C408" s="5"/>
      <c r="D408" s="5"/>
      <c r="H408" s="5"/>
    </row>
    <row r="409" spans="2:8" x14ac:dyDescent="0.25">
      <c r="B409" s="5"/>
      <c r="C409" s="5"/>
      <c r="D409" s="5"/>
      <c r="H409" s="5"/>
    </row>
    <row r="410" spans="2:8" x14ac:dyDescent="0.25">
      <c r="B410" s="5"/>
      <c r="C410" s="5"/>
      <c r="D410" s="5"/>
      <c r="H410" s="5"/>
    </row>
    <row r="411" spans="2:8" x14ac:dyDescent="0.25">
      <c r="B411" s="5"/>
      <c r="C411" s="5"/>
      <c r="D411" s="5"/>
      <c r="H411" s="5"/>
    </row>
    <row r="412" spans="2:8" x14ac:dyDescent="0.25">
      <c r="B412" s="5"/>
      <c r="C412" s="5"/>
      <c r="D412" s="5"/>
      <c r="H412" s="5"/>
    </row>
    <row r="413" spans="2:8" x14ac:dyDescent="0.25">
      <c r="B413" s="5"/>
      <c r="C413" s="5"/>
      <c r="D413" s="5"/>
      <c r="H413" s="5"/>
    </row>
    <row r="414" spans="2:8" x14ac:dyDescent="0.25">
      <c r="B414" s="5"/>
      <c r="C414" s="5"/>
      <c r="D414" s="5"/>
      <c r="H414" s="5"/>
    </row>
    <row r="415" spans="2:8" x14ac:dyDescent="0.25">
      <c r="B415" s="5"/>
      <c r="C415" s="5"/>
      <c r="D415" s="5"/>
      <c r="H415" s="5"/>
    </row>
    <row r="416" spans="2:8" x14ac:dyDescent="0.25">
      <c r="B416" s="5"/>
      <c r="C416" s="5"/>
      <c r="D416" s="5"/>
      <c r="H416" s="5"/>
    </row>
    <row r="417" spans="2:8" x14ac:dyDescent="0.25">
      <c r="B417" s="5"/>
      <c r="C417" s="5"/>
      <c r="D417" s="5"/>
      <c r="H417" s="5"/>
    </row>
    <row r="418" spans="2:8" x14ac:dyDescent="0.25">
      <c r="B418" s="5"/>
      <c r="C418" s="5"/>
      <c r="D418" s="5"/>
      <c r="H418" s="5"/>
    </row>
    <row r="419" spans="2:8" x14ac:dyDescent="0.25">
      <c r="B419" s="5"/>
      <c r="C419" s="5"/>
      <c r="D419" s="5"/>
      <c r="H419" s="5"/>
    </row>
    <row r="420" spans="2:8" x14ac:dyDescent="0.25">
      <c r="B420" s="5"/>
      <c r="C420" s="5"/>
      <c r="D420" s="5"/>
      <c r="H420" s="5"/>
    </row>
    <row r="421" spans="2:8" x14ac:dyDescent="0.25">
      <c r="B421" s="5"/>
      <c r="C421" s="5"/>
      <c r="D421" s="5"/>
      <c r="H421" s="5"/>
    </row>
    <row r="422" spans="2:8" x14ac:dyDescent="0.25">
      <c r="B422" s="5"/>
      <c r="C422" s="5"/>
      <c r="D422" s="5"/>
      <c r="H422" s="5"/>
    </row>
    <row r="423" spans="2:8" x14ac:dyDescent="0.25">
      <c r="B423" s="5"/>
      <c r="C423" s="5"/>
      <c r="D423" s="5"/>
      <c r="H423" s="5"/>
    </row>
    <row r="424" spans="2:8" x14ac:dyDescent="0.25">
      <c r="B424" s="5"/>
      <c r="C424" s="5"/>
      <c r="D424" s="5"/>
      <c r="H424" s="5"/>
    </row>
    <row r="425" spans="2:8" x14ac:dyDescent="0.25">
      <c r="B425" s="5"/>
      <c r="C425" s="5"/>
      <c r="D425" s="5"/>
      <c r="H425" s="5"/>
    </row>
    <row r="426" spans="2:8" x14ac:dyDescent="0.25">
      <c r="B426" s="5"/>
      <c r="C426" s="5"/>
      <c r="D426" s="5"/>
      <c r="H426" s="5"/>
    </row>
    <row r="427" spans="2:8" x14ac:dyDescent="0.25">
      <c r="B427" s="5"/>
      <c r="C427" s="5"/>
      <c r="D427" s="5"/>
      <c r="H427" s="5"/>
    </row>
    <row r="428" spans="2:8" x14ac:dyDescent="0.25">
      <c r="B428" s="5"/>
      <c r="C428" s="5"/>
      <c r="D428" s="5"/>
      <c r="H428" s="5"/>
    </row>
    <row r="429" spans="2:8" x14ac:dyDescent="0.25">
      <c r="B429" s="5"/>
      <c r="C429" s="5"/>
      <c r="D429" s="5"/>
      <c r="H429" s="5"/>
    </row>
    <row r="430" spans="2:8" x14ac:dyDescent="0.25">
      <c r="B430" s="5"/>
      <c r="C430" s="5"/>
      <c r="D430" s="5"/>
      <c r="H430" s="5"/>
    </row>
    <row r="431" spans="2:8" x14ac:dyDescent="0.25">
      <c r="B431" s="5"/>
      <c r="C431" s="5"/>
      <c r="D431" s="5"/>
      <c r="H431" s="5"/>
    </row>
    <row r="432" spans="2:8" x14ac:dyDescent="0.25">
      <c r="B432" s="5"/>
      <c r="C432" s="5"/>
      <c r="D432" s="5"/>
      <c r="H432" s="5"/>
    </row>
    <row r="433" spans="2:8" x14ac:dyDescent="0.25">
      <c r="B433" s="5"/>
      <c r="C433" s="5"/>
      <c r="D433" s="5"/>
      <c r="H433" s="5"/>
    </row>
    <row r="434" spans="2:8" x14ac:dyDescent="0.25">
      <c r="B434" s="5"/>
      <c r="C434" s="5"/>
      <c r="D434" s="5"/>
      <c r="H434" s="5"/>
    </row>
    <row r="435" spans="2:8" x14ac:dyDescent="0.25">
      <c r="B435" s="5"/>
      <c r="C435" s="5"/>
      <c r="D435" s="5"/>
      <c r="H435" s="5"/>
    </row>
    <row r="436" spans="2:8" x14ac:dyDescent="0.25">
      <c r="B436" s="5"/>
      <c r="C436" s="5"/>
      <c r="D436" s="5"/>
      <c r="H436" s="5"/>
    </row>
    <row r="437" spans="2:8" x14ac:dyDescent="0.25">
      <c r="B437" s="5"/>
      <c r="C437" s="5"/>
      <c r="D437" s="5"/>
      <c r="H437" s="5"/>
    </row>
    <row r="438" spans="2:8" x14ac:dyDescent="0.25">
      <c r="B438" s="5"/>
      <c r="C438" s="5"/>
      <c r="D438" s="5"/>
      <c r="H438" s="5"/>
    </row>
    <row r="439" spans="2:8" x14ac:dyDescent="0.25">
      <c r="B439" s="5"/>
      <c r="C439" s="5"/>
      <c r="D439" s="5"/>
      <c r="H439" s="5"/>
    </row>
    <row r="440" spans="2:8" x14ac:dyDescent="0.25">
      <c r="B440" s="5"/>
      <c r="C440" s="5"/>
      <c r="D440" s="5"/>
      <c r="H440" s="5"/>
    </row>
    <row r="441" spans="2:8" x14ac:dyDescent="0.25">
      <c r="B441" s="5"/>
      <c r="C441" s="5"/>
      <c r="D441" s="5"/>
      <c r="H441" s="5"/>
    </row>
    <row r="442" spans="2:8" x14ac:dyDescent="0.25">
      <c r="B442" s="5"/>
      <c r="C442" s="5"/>
      <c r="D442" s="5"/>
      <c r="H442" s="5"/>
    </row>
    <row r="443" spans="2:8" x14ac:dyDescent="0.25">
      <c r="B443" s="5"/>
      <c r="C443" s="5"/>
      <c r="D443" s="5"/>
      <c r="H443" s="5"/>
    </row>
    <row r="444" spans="2:8" x14ac:dyDescent="0.25">
      <c r="B444" s="5"/>
      <c r="C444" s="5"/>
      <c r="D444" s="5"/>
      <c r="H444" s="5"/>
    </row>
    <row r="445" spans="2:8" x14ac:dyDescent="0.25">
      <c r="B445" s="5"/>
      <c r="C445" s="5"/>
      <c r="D445" s="5"/>
      <c r="H445" s="5"/>
    </row>
    <row r="446" spans="2:8" x14ac:dyDescent="0.25">
      <c r="B446" s="5"/>
      <c r="C446" s="5"/>
      <c r="D446" s="5"/>
      <c r="H446" s="5"/>
    </row>
    <row r="447" spans="2:8" x14ac:dyDescent="0.25">
      <c r="B447" s="5"/>
      <c r="C447" s="5"/>
      <c r="D447" s="5"/>
      <c r="H447" s="5"/>
    </row>
    <row r="448" spans="2:8" x14ac:dyDescent="0.25">
      <c r="B448" s="5"/>
      <c r="C448" s="5"/>
      <c r="D448" s="5"/>
      <c r="H448" s="5"/>
    </row>
    <row r="449" spans="2:8" x14ac:dyDescent="0.25">
      <c r="B449" s="5"/>
      <c r="C449" s="5"/>
      <c r="D449" s="5"/>
      <c r="H449" s="5"/>
    </row>
    <row r="450" spans="2:8" x14ac:dyDescent="0.25">
      <c r="B450" s="5"/>
      <c r="C450" s="5"/>
      <c r="D450" s="5"/>
      <c r="H450" s="5"/>
    </row>
    <row r="451" spans="2:8" x14ac:dyDescent="0.25">
      <c r="B451" s="5"/>
      <c r="C451" s="5"/>
      <c r="D451" s="5"/>
      <c r="H451" s="5"/>
    </row>
    <row r="452" spans="2:8" x14ac:dyDescent="0.25">
      <c r="B452" s="5"/>
      <c r="C452" s="5"/>
      <c r="D452" s="5"/>
      <c r="H452" s="5"/>
    </row>
    <row r="453" spans="2:8" x14ac:dyDescent="0.25">
      <c r="B453" s="5"/>
      <c r="C453" s="5"/>
      <c r="D453" s="5"/>
      <c r="H453" s="5"/>
    </row>
    <row r="454" spans="2:8" x14ac:dyDescent="0.25">
      <c r="B454" s="5"/>
      <c r="C454" s="5"/>
      <c r="D454" s="5"/>
      <c r="H454" s="5"/>
    </row>
    <row r="455" spans="2:8" x14ac:dyDescent="0.25">
      <c r="B455" s="5"/>
      <c r="C455" s="5"/>
      <c r="D455" s="5"/>
      <c r="H455" s="5"/>
    </row>
    <row r="456" spans="2:8" x14ac:dyDescent="0.25">
      <c r="B456" s="5"/>
      <c r="C456" s="5"/>
      <c r="D456" s="5"/>
      <c r="H456" s="5"/>
    </row>
    <row r="457" spans="2:8" x14ac:dyDescent="0.25">
      <c r="B457" s="5"/>
      <c r="C457" s="5"/>
      <c r="D457" s="5"/>
      <c r="H457" s="5"/>
    </row>
    <row r="458" spans="2:8" x14ac:dyDescent="0.25">
      <c r="B458" s="5"/>
      <c r="C458" s="5"/>
      <c r="D458" s="5"/>
      <c r="H458" s="5"/>
    </row>
    <row r="459" spans="2:8" x14ac:dyDescent="0.25">
      <c r="B459" s="5"/>
      <c r="C459" s="5"/>
      <c r="D459" s="5"/>
      <c r="H459" s="5"/>
    </row>
    <row r="460" spans="2:8" x14ac:dyDescent="0.25">
      <c r="B460" s="5"/>
      <c r="C460" s="5"/>
      <c r="D460" s="5"/>
      <c r="H460" s="5"/>
    </row>
    <row r="461" spans="2:8" x14ac:dyDescent="0.25">
      <c r="B461" s="5"/>
      <c r="C461" s="5"/>
      <c r="D461" s="5"/>
      <c r="H461" s="5"/>
    </row>
    <row r="462" spans="2:8" x14ac:dyDescent="0.25">
      <c r="B462" s="5"/>
      <c r="C462" s="5"/>
      <c r="D462" s="5"/>
      <c r="H462" s="5"/>
    </row>
    <row r="463" spans="2:8" x14ac:dyDescent="0.25">
      <c r="B463" s="5"/>
      <c r="C463" s="5"/>
      <c r="D463" s="5"/>
      <c r="H463" s="5"/>
    </row>
    <row r="464" spans="2:8" x14ac:dyDescent="0.25">
      <c r="B464" s="5"/>
      <c r="C464" s="5"/>
      <c r="D464" s="5"/>
      <c r="H464" s="5"/>
    </row>
    <row r="465" spans="2:8" x14ac:dyDescent="0.25">
      <c r="B465" s="5"/>
      <c r="C465" s="5"/>
      <c r="D465" s="5"/>
      <c r="H465" s="5"/>
    </row>
    <row r="466" spans="2:8" x14ac:dyDescent="0.25">
      <c r="B466" s="5"/>
      <c r="C466" s="5"/>
      <c r="D466" s="5"/>
      <c r="H466" s="5"/>
    </row>
    <row r="467" spans="2:8" x14ac:dyDescent="0.25">
      <c r="B467" s="5"/>
      <c r="C467" s="5"/>
      <c r="D467" s="5"/>
      <c r="H467" s="5"/>
    </row>
    <row r="468" spans="2:8" x14ac:dyDescent="0.25">
      <c r="B468" s="5"/>
      <c r="C468" s="5"/>
      <c r="D468" s="5"/>
      <c r="H468" s="5"/>
    </row>
    <row r="469" spans="2:8" x14ac:dyDescent="0.25">
      <c r="B469" s="5"/>
      <c r="C469" s="5"/>
      <c r="D469" s="5"/>
      <c r="H469" s="5"/>
    </row>
    <row r="470" spans="2:8" x14ac:dyDescent="0.25">
      <c r="B470" s="5"/>
      <c r="C470" s="5"/>
      <c r="D470" s="5"/>
      <c r="H470" s="5"/>
    </row>
    <row r="471" spans="2:8" x14ac:dyDescent="0.25">
      <c r="B471" s="5"/>
      <c r="C471" s="5"/>
      <c r="D471" s="5"/>
      <c r="H471" s="5"/>
    </row>
    <row r="472" spans="2:8" x14ac:dyDescent="0.25">
      <c r="B472" s="5"/>
      <c r="C472" s="5"/>
      <c r="D472" s="5"/>
      <c r="H472" s="5"/>
    </row>
    <row r="473" spans="2:8" x14ac:dyDescent="0.25">
      <c r="B473" s="5"/>
      <c r="C473" s="5"/>
      <c r="D473" s="5"/>
      <c r="H473" s="5"/>
    </row>
    <row r="474" spans="2:8" x14ac:dyDescent="0.25">
      <c r="B474" s="5"/>
      <c r="C474" s="5"/>
      <c r="D474" s="5"/>
      <c r="H474" s="5"/>
    </row>
    <row r="475" spans="2:8" x14ac:dyDescent="0.25">
      <c r="B475" s="5"/>
      <c r="C475" s="5"/>
      <c r="D475" s="5"/>
      <c r="H475" s="5"/>
    </row>
    <row r="476" spans="2:8" x14ac:dyDescent="0.25">
      <c r="B476" s="5"/>
      <c r="C476" s="5"/>
      <c r="D476" s="5"/>
      <c r="H476" s="5"/>
    </row>
    <row r="477" spans="2:8" x14ac:dyDescent="0.25">
      <c r="B477" s="5"/>
      <c r="C477" s="5"/>
      <c r="D477" s="5"/>
      <c r="H477" s="5"/>
    </row>
    <row r="478" spans="2:8" x14ac:dyDescent="0.25">
      <c r="B478" s="5"/>
      <c r="C478" s="5"/>
      <c r="D478" s="5"/>
      <c r="H478" s="5"/>
    </row>
    <row r="479" spans="2:8" x14ac:dyDescent="0.25">
      <c r="B479" s="5"/>
      <c r="C479" s="5"/>
      <c r="D479" s="5"/>
      <c r="H479" s="5"/>
    </row>
    <row r="480" spans="2:8" x14ac:dyDescent="0.25">
      <c r="B480" s="5"/>
      <c r="C480" s="5"/>
      <c r="D480" s="5"/>
      <c r="H480" s="5"/>
    </row>
    <row r="481" spans="2:8" x14ac:dyDescent="0.25">
      <c r="B481" s="5"/>
      <c r="C481" s="5"/>
      <c r="D481" s="5"/>
      <c r="H481" s="5"/>
    </row>
    <row r="482" spans="2:8" x14ac:dyDescent="0.25">
      <c r="B482" s="5"/>
      <c r="C482" s="5"/>
      <c r="D482" s="5"/>
      <c r="H482" s="5"/>
    </row>
    <row r="483" spans="2:8" x14ac:dyDescent="0.25">
      <c r="B483" s="5"/>
      <c r="C483" s="5"/>
      <c r="D483" s="5"/>
      <c r="H483" s="5"/>
    </row>
    <row r="484" spans="2:8" x14ac:dyDescent="0.25">
      <c r="B484" s="5"/>
      <c r="C484" s="5"/>
      <c r="D484" s="5"/>
      <c r="H484" s="5"/>
    </row>
    <row r="485" spans="2:8" x14ac:dyDescent="0.25">
      <c r="B485" s="5"/>
      <c r="C485" s="5"/>
      <c r="D485" s="5"/>
      <c r="H485" s="5"/>
    </row>
    <row r="486" spans="2:8" x14ac:dyDescent="0.25">
      <c r="B486" s="5"/>
      <c r="C486" s="5"/>
      <c r="D486" s="5"/>
      <c r="H486" s="5"/>
    </row>
    <row r="487" spans="2:8" x14ac:dyDescent="0.25">
      <c r="B487" s="5"/>
      <c r="C487" s="5"/>
      <c r="D487" s="5"/>
      <c r="H487" s="5"/>
    </row>
    <row r="488" spans="2:8" x14ac:dyDescent="0.25">
      <c r="B488" s="5"/>
      <c r="C488" s="5"/>
      <c r="D488" s="5"/>
      <c r="H488" s="5"/>
    </row>
    <row r="489" spans="2:8" x14ac:dyDescent="0.25">
      <c r="B489" s="5"/>
      <c r="C489" s="5"/>
      <c r="D489" s="5"/>
      <c r="H489" s="5"/>
    </row>
    <row r="490" spans="2:8" x14ac:dyDescent="0.25">
      <c r="B490" s="5"/>
      <c r="C490" s="5"/>
      <c r="D490" s="5"/>
      <c r="H490" s="5"/>
    </row>
    <row r="491" spans="2:8" x14ac:dyDescent="0.25">
      <c r="B491" s="5"/>
      <c r="C491" s="5"/>
      <c r="D491" s="5"/>
      <c r="H491" s="5"/>
    </row>
    <row r="492" spans="2:8" x14ac:dyDescent="0.25">
      <c r="B492" s="5"/>
      <c r="C492" s="5"/>
      <c r="D492" s="5"/>
      <c r="H492" s="5"/>
    </row>
    <row r="493" spans="2:8" x14ac:dyDescent="0.25">
      <c r="B493" s="5"/>
      <c r="C493" s="5"/>
      <c r="D493" s="5"/>
      <c r="H493" s="5"/>
    </row>
    <row r="494" spans="2:8" x14ac:dyDescent="0.25">
      <c r="B494" s="5"/>
      <c r="C494" s="5"/>
      <c r="D494" s="5"/>
      <c r="H494" s="5"/>
    </row>
    <row r="495" spans="2:8" x14ac:dyDescent="0.25">
      <c r="B495" s="5"/>
      <c r="C495" s="5"/>
      <c r="D495" s="5"/>
      <c r="H495" s="5"/>
    </row>
    <row r="496" spans="2:8" x14ac:dyDescent="0.25">
      <c r="B496" s="5"/>
      <c r="C496" s="5"/>
      <c r="D496" s="5"/>
      <c r="H496" s="5"/>
    </row>
    <row r="497" spans="2:8" x14ac:dyDescent="0.25">
      <c r="B497" s="5"/>
      <c r="C497" s="5"/>
      <c r="D497" s="5"/>
      <c r="H497" s="5"/>
    </row>
    <row r="498" spans="2:8" x14ac:dyDescent="0.25">
      <c r="B498" s="5"/>
      <c r="C498" s="5"/>
      <c r="D498" s="5"/>
      <c r="H498" s="5"/>
    </row>
    <row r="499" spans="2:8" x14ac:dyDescent="0.25">
      <c r="B499" s="5"/>
      <c r="C499" s="5"/>
      <c r="D499" s="5"/>
      <c r="H499" s="5"/>
    </row>
    <row r="500" spans="2:8" x14ac:dyDescent="0.25">
      <c r="B500" s="5"/>
      <c r="C500" s="5"/>
      <c r="D500" s="5"/>
      <c r="H500" s="5"/>
    </row>
    <row r="501" spans="2:8" x14ac:dyDescent="0.25">
      <c r="B501" s="5"/>
      <c r="C501" s="5"/>
      <c r="D501" s="5"/>
      <c r="H501" s="5"/>
    </row>
    <row r="502" spans="2:8" x14ac:dyDescent="0.25">
      <c r="B502" s="5"/>
      <c r="C502" s="5"/>
      <c r="D502" s="5"/>
      <c r="H502" s="5"/>
    </row>
    <row r="503" spans="2:8" x14ac:dyDescent="0.25">
      <c r="B503" s="5"/>
      <c r="C503" s="5"/>
      <c r="D503" s="5"/>
      <c r="H503" s="5"/>
    </row>
    <row r="504" spans="2:8" x14ac:dyDescent="0.25">
      <c r="B504" s="5"/>
      <c r="C504" s="5"/>
      <c r="D504" s="5"/>
      <c r="H504" s="5"/>
    </row>
    <row r="505" spans="2:8" x14ac:dyDescent="0.25">
      <c r="B505" s="5"/>
      <c r="C505" s="5"/>
      <c r="D505" s="5"/>
      <c r="H505" s="5"/>
    </row>
    <row r="506" spans="2:8" x14ac:dyDescent="0.25">
      <c r="B506" s="5"/>
      <c r="C506" s="5"/>
      <c r="D506" s="5"/>
      <c r="H506" s="5"/>
    </row>
    <row r="507" spans="2:8" x14ac:dyDescent="0.25">
      <c r="B507" s="5"/>
      <c r="C507" s="5"/>
      <c r="D507" s="5"/>
      <c r="H507" s="5"/>
    </row>
    <row r="508" spans="2:8" x14ac:dyDescent="0.25">
      <c r="B508" s="5"/>
      <c r="C508" s="5"/>
      <c r="D508" s="5"/>
      <c r="H508" s="5"/>
    </row>
    <row r="509" spans="2:8" x14ac:dyDescent="0.25">
      <c r="B509" s="5"/>
      <c r="C509" s="5"/>
      <c r="D509" s="5"/>
      <c r="H509" s="5"/>
    </row>
    <row r="510" spans="2:8" x14ac:dyDescent="0.25">
      <c r="B510" s="5"/>
      <c r="C510" s="5"/>
      <c r="D510" s="5"/>
      <c r="H510" s="5"/>
    </row>
    <row r="511" spans="2:8" x14ac:dyDescent="0.25">
      <c r="B511" s="5"/>
      <c r="C511" s="5"/>
      <c r="D511" s="5"/>
      <c r="H511" s="5"/>
    </row>
    <row r="512" spans="2:8" x14ac:dyDescent="0.25">
      <c r="B512" s="5"/>
      <c r="C512" s="5"/>
      <c r="D512" s="5"/>
      <c r="H512" s="5"/>
    </row>
    <row r="513" spans="2:8" x14ac:dyDescent="0.25">
      <c r="B513" s="5"/>
      <c r="C513" s="5"/>
      <c r="D513" s="5"/>
      <c r="H513" s="5"/>
    </row>
    <row r="514" spans="2:8" x14ac:dyDescent="0.25">
      <c r="B514" s="5"/>
      <c r="C514" s="5"/>
      <c r="D514" s="5"/>
      <c r="H514" s="5"/>
    </row>
    <row r="515" spans="2:8" x14ac:dyDescent="0.25">
      <c r="B515" s="5"/>
      <c r="C515" s="5"/>
      <c r="D515" s="5"/>
      <c r="H515" s="5"/>
    </row>
    <row r="516" spans="2:8" x14ac:dyDescent="0.25">
      <c r="B516" s="5"/>
      <c r="C516" s="5"/>
      <c r="D516" s="5"/>
      <c r="H516" s="5"/>
    </row>
    <row r="517" spans="2:8" x14ac:dyDescent="0.25">
      <c r="B517" s="5"/>
      <c r="C517" s="5"/>
      <c r="D517" s="5"/>
      <c r="H517" s="5"/>
    </row>
    <row r="518" spans="2:8" x14ac:dyDescent="0.25">
      <c r="B518" s="5"/>
      <c r="C518" s="5"/>
      <c r="D518" s="5"/>
      <c r="H518" s="5"/>
    </row>
    <row r="519" spans="2:8" x14ac:dyDescent="0.25">
      <c r="B519" s="5"/>
      <c r="C519" s="5"/>
      <c r="D519" s="5"/>
      <c r="H519" s="5"/>
    </row>
    <row r="520" spans="2:8" x14ac:dyDescent="0.25">
      <c r="B520" s="5"/>
      <c r="C520" s="5"/>
      <c r="D520" s="5"/>
      <c r="H520" s="5"/>
    </row>
    <row r="521" spans="2:8" x14ac:dyDescent="0.25">
      <c r="B521" s="5"/>
      <c r="C521" s="5"/>
      <c r="D521" s="5"/>
      <c r="H521" s="5"/>
    </row>
    <row r="522" spans="2:8" x14ac:dyDescent="0.25">
      <c r="B522" s="5"/>
      <c r="C522" s="5"/>
      <c r="D522" s="5"/>
      <c r="H522" s="5"/>
    </row>
    <row r="523" spans="2:8" x14ac:dyDescent="0.25">
      <c r="B523" s="5"/>
      <c r="C523" s="5"/>
      <c r="D523" s="5"/>
      <c r="H523" s="5"/>
    </row>
    <row r="524" spans="2:8" x14ac:dyDescent="0.25">
      <c r="B524" s="5"/>
      <c r="C524" s="5"/>
      <c r="D524" s="5"/>
      <c r="H524" s="5"/>
    </row>
    <row r="525" spans="2:8" x14ac:dyDescent="0.25">
      <c r="B525" s="5"/>
      <c r="C525" s="5"/>
      <c r="D525" s="5"/>
      <c r="H525" s="5"/>
    </row>
    <row r="526" spans="2:8" x14ac:dyDescent="0.25">
      <c r="B526" s="5"/>
      <c r="C526" s="5"/>
      <c r="D526" s="5"/>
      <c r="H526" s="5"/>
    </row>
    <row r="527" spans="2:8" x14ac:dyDescent="0.25">
      <c r="B527" s="5"/>
      <c r="C527" s="5"/>
      <c r="D527" s="5"/>
      <c r="H527" s="5"/>
    </row>
    <row r="528" spans="2:8" x14ac:dyDescent="0.25">
      <c r="B528" s="5"/>
      <c r="C528" s="5"/>
      <c r="D528" s="5"/>
      <c r="H528" s="5"/>
    </row>
    <row r="529" spans="2:8" x14ac:dyDescent="0.25">
      <c r="B529" s="5"/>
      <c r="C529" s="5"/>
      <c r="D529" s="5"/>
      <c r="H529" s="5"/>
    </row>
    <row r="530" spans="2:8" x14ac:dyDescent="0.25">
      <c r="B530" s="5"/>
      <c r="C530" s="5"/>
      <c r="D530" s="5"/>
      <c r="H530" s="5"/>
    </row>
    <row r="531" spans="2:8" x14ac:dyDescent="0.25">
      <c r="B531" s="5"/>
      <c r="C531" s="5"/>
      <c r="D531" s="5"/>
      <c r="H531" s="5"/>
    </row>
    <row r="532" spans="2:8" x14ac:dyDescent="0.25">
      <c r="B532" s="5"/>
      <c r="C532" s="5"/>
      <c r="D532" s="5"/>
      <c r="H532" s="5"/>
    </row>
    <row r="533" spans="2:8" x14ac:dyDescent="0.25">
      <c r="B533" s="5"/>
      <c r="C533" s="5"/>
      <c r="D533" s="5"/>
      <c r="H533" s="5"/>
    </row>
    <row r="534" spans="2:8" x14ac:dyDescent="0.25">
      <c r="B534" s="5"/>
      <c r="C534" s="5"/>
      <c r="D534" s="5"/>
      <c r="H534" s="5"/>
    </row>
    <row r="535" spans="2:8" x14ac:dyDescent="0.25">
      <c r="B535" s="5"/>
      <c r="C535" s="5"/>
      <c r="D535" s="5"/>
      <c r="H535" s="5"/>
    </row>
    <row r="536" spans="2:8" x14ac:dyDescent="0.25">
      <c r="B536" s="5"/>
      <c r="C536" s="5"/>
      <c r="D536" s="5"/>
      <c r="H536" s="5"/>
    </row>
    <row r="537" spans="2:8" x14ac:dyDescent="0.25">
      <c r="B537" s="5"/>
      <c r="C537" s="5"/>
      <c r="D537" s="5"/>
      <c r="H537" s="5"/>
    </row>
    <row r="538" spans="2:8" x14ac:dyDescent="0.25">
      <c r="B538" s="5"/>
      <c r="C538" s="5"/>
      <c r="D538" s="5"/>
      <c r="H538" s="5"/>
    </row>
    <row r="539" spans="2:8" x14ac:dyDescent="0.25">
      <c r="B539" s="5"/>
      <c r="C539" s="5"/>
      <c r="D539" s="5"/>
      <c r="H539" s="5"/>
    </row>
    <row r="540" spans="2:8" x14ac:dyDescent="0.25">
      <c r="B540" s="5"/>
      <c r="C540" s="5"/>
      <c r="D540" s="5"/>
      <c r="H540" s="5"/>
    </row>
    <row r="541" spans="2:8" x14ac:dyDescent="0.25">
      <c r="B541" s="5"/>
      <c r="C541" s="5"/>
      <c r="D541" s="5"/>
      <c r="H541" s="5"/>
    </row>
    <row r="542" spans="2:8" x14ac:dyDescent="0.25">
      <c r="B542" s="5"/>
      <c r="C542" s="5"/>
      <c r="D542" s="5"/>
      <c r="H542" s="5"/>
    </row>
    <row r="543" spans="2:8" x14ac:dyDescent="0.25">
      <c r="B543" s="5"/>
      <c r="C543" s="5"/>
      <c r="D543" s="5"/>
      <c r="H543" s="5"/>
    </row>
    <row r="544" spans="2:8" x14ac:dyDescent="0.25">
      <c r="B544" s="5"/>
      <c r="C544" s="5"/>
      <c r="D544" s="5"/>
      <c r="H544" s="5"/>
    </row>
    <row r="545" spans="2:8" x14ac:dyDescent="0.25">
      <c r="B545" s="5"/>
      <c r="C545" s="5"/>
      <c r="D545" s="5"/>
      <c r="H545" s="5"/>
    </row>
    <row r="546" spans="2:8" x14ac:dyDescent="0.25">
      <c r="B546" s="5"/>
      <c r="C546" s="5"/>
      <c r="D546" s="5"/>
      <c r="H546" s="5"/>
    </row>
    <row r="547" spans="2:8" x14ac:dyDescent="0.25">
      <c r="B547" s="5"/>
      <c r="C547" s="5"/>
      <c r="D547" s="5"/>
      <c r="H547" s="5"/>
    </row>
    <row r="548" spans="2:8" x14ac:dyDescent="0.25">
      <c r="B548" s="5"/>
      <c r="C548" s="5"/>
      <c r="D548" s="5"/>
      <c r="H548" s="5"/>
    </row>
    <row r="549" spans="2:8" x14ac:dyDescent="0.25">
      <c r="B549" s="5"/>
      <c r="C549" s="5"/>
      <c r="D549" s="5"/>
      <c r="H549" s="5"/>
    </row>
    <row r="550" spans="2:8" x14ac:dyDescent="0.25">
      <c r="B550" s="5"/>
      <c r="C550" s="5"/>
      <c r="D550" s="5"/>
      <c r="H550" s="5"/>
    </row>
    <row r="551" spans="2:8" x14ac:dyDescent="0.25">
      <c r="B551" s="5"/>
      <c r="C551" s="5"/>
      <c r="D551" s="5"/>
      <c r="H551" s="5"/>
    </row>
    <row r="552" spans="2:8" x14ac:dyDescent="0.25">
      <c r="B552" s="5"/>
      <c r="C552" s="5"/>
      <c r="D552" s="5"/>
      <c r="H552" s="5"/>
    </row>
    <row r="553" spans="2:8" x14ac:dyDescent="0.25">
      <c r="B553" s="5"/>
      <c r="C553" s="5"/>
      <c r="D553" s="5"/>
      <c r="H553" s="5"/>
    </row>
    <row r="554" spans="2:8" x14ac:dyDescent="0.25">
      <c r="B554" s="5"/>
      <c r="C554" s="5"/>
      <c r="D554" s="5"/>
      <c r="H554" s="5"/>
    </row>
    <row r="555" spans="2:8" x14ac:dyDescent="0.25">
      <c r="B555" s="5"/>
      <c r="C555" s="5"/>
      <c r="D555" s="5"/>
      <c r="H555" s="5"/>
    </row>
    <row r="556" spans="2:8" x14ac:dyDescent="0.25">
      <c r="B556" s="5"/>
      <c r="C556" s="5"/>
      <c r="D556" s="5"/>
      <c r="H556" s="5"/>
    </row>
    <row r="557" spans="2:8" x14ac:dyDescent="0.25">
      <c r="B557" s="5"/>
      <c r="C557" s="5"/>
      <c r="D557" s="5"/>
      <c r="H557" s="5"/>
    </row>
    <row r="558" spans="2:8" x14ac:dyDescent="0.25">
      <c r="B558" s="5"/>
      <c r="C558" s="5"/>
      <c r="D558" s="5"/>
      <c r="H558" s="5"/>
    </row>
    <row r="559" spans="2:8" x14ac:dyDescent="0.25">
      <c r="B559" s="5"/>
      <c r="C559" s="5"/>
      <c r="D559" s="5"/>
      <c r="H559" s="5"/>
    </row>
    <row r="560" spans="2:8" x14ac:dyDescent="0.25">
      <c r="B560" s="5"/>
      <c r="C560" s="5"/>
      <c r="D560" s="5"/>
      <c r="H560" s="5"/>
    </row>
    <row r="561" spans="2:8" x14ac:dyDescent="0.25">
      <c r="B561" s="5"/>
      <c r="C561" s="5"/>
      <c r="D561" s="5"/>
      <c r="H561" s="5"/>
    </row>
    <row r="562" spans="2:8" x14ac:dyDescent="0.25">
      <c r="B562" s="5"/>
      <c r="C562" s="5"/>
      <c r="D562" s="5"/>
      <c r="H562" s="5"/>
    </row>
    <row r="563" spans="2:8" x14ac:dyDescent="0.25">
      <c r="B563" s="5"/>
      <c r="C563" s="5"/>
      <c r="D563" s="5"/>
      <c r="H563" s="5"/>
    </row>
    <row r="564" spans="2:8" x14ac:dyDescent="0.25">
      <c r="B564" s="5"/>
      <c r="C564" s="5"/>
      <c r="D564" s="5"/>
      <c r="H564" s="5"/>
    </row>
    <row r="565" spans="2:8" x14ac:dyDescent="0.25">
      <c r="B565" s="5"/>
      <c r="C565" s="5"/>
      <c r="D565" s="5"/>
      <c r="H565" s="5"/>
    </row>
    <row r="566" spans="2:8" x14ac:dyDescent="0.25">
      <c r="B566" s="5"/>
      <c r="C566" s="5"/>
      <c r="D566" s="5"/>
      <c r="H566" s="5"/>
    </row>
    <row r="567" spans="2:8" x14ac:dyDescent="0.25">
      <c r="B567" s="5"/>
      <c r="C567" s="5"/>
      <c r="D567" s="5"/>
      <c r="H567" s="5"/>
    </row>
    <row r="568" spans="2:8" x14ac:dyDescent="0.25">
      <c r="B568" s="5"/>
      <c r="C568" s="5"/>
      <c r="D568" s="5"/>
      <c r="H568" s="5"/>
    </row>
    <row r="569" spans="2:8" x14ac:dyDescent="0.25">
      <c r="B569" s="5"/>
      <c r="C569" s="5"/>
      <c r="D569" s="5"/>
      <c r="H569" s="5"/>
    </row>
    <row r="570" spans="2:8" x14ac:dyDescent="0.25">
      <c r="B570" s="5"/>
      <c r="C570" s="5"/>
      <c r="D570" s="5"/>
      <c r="H570" s="5"/>
    </row>
    <row r="571" spans="2:8" x14ac:dyDescent="0.25">
      <c r="B571" s="5"/>
      <c r="C571" s="5"/>
      <c r="D571" s="5"/>
      <c r="H571" s="5"/>
    </row>
    <row r="572" spans="2:8" x14ac:dyDescent="0.25">
      <c r="B572" s="5"/>
      <c r="C572" s="5"/>
      <c r="D572" s="5"/>
      <c r="H572" s="5"/>
    </row>
    <row r="573" spans="2:8" x14ac:dyDescent="0.25">
      <c r="B573" s="5"/>
      <c r="C573" s="5"/>
      <c r="D573" s="5"/>
      <c r="H573" s="5"/>
    </row>
    <row r="574" spans="2:8" x14ac:dyDescent="0.25">
      <c r="B574" s="5"/>
      <c r="C574" s="5"/>
      <c r="D574" s="5"/>
      <c r="H574" s="5"/>
    </row>
    <row r="575" spans="2:8" x14ac:dyDescent="0.25">
      <c r="B575" s="5"/>
      <c r="C575" s="5"/>
      <c r="D575" s="5"/>
      <c r="H575" s="5"/>
    </row>
    <row r="576" spans="2:8" x14ac:dyDescent="0.25">
      <c r="B576" s="5"/>
      <c r="C576" s="5"/>
      <c r="D576" s="5"/>
      <c r="H576" s="5"/>
    </row>
    <row r="577" spans="2:8" x14ac:dyDescent="0.25">
      <c r="B577" s="5"/>
      <c r="C577" s="5"/>
      <c r="D577" s="5"/>
      <c r="H577" s="5"/>
    </row>
    <row r="578" spans="2:8" x14ac:dyDescent="0.25">
      <c r="B578" s="5"/>
      <c r="C578" s="5"/>
      <c r="D578" s="5"/>
      <c r="H578" s="5"/>
    </row>
    <row r="579" spans="2:8" x14ac:dyDescent="0.25">
      <c r="B579" s="5"/>
      <c r="C579" s="5"/>
      <c r="D579" s="5"/>
      <c r="H579" s="5"/>
    </row>
    <row r="580" spans="2:8" x14ac:dyDescent="0.25">
      <c r="B580" s="5"/>
      <c r="C580" s="5"/>
      <c r="D580" s="5"/>
      <c r="H580" s="5"/>
    </row>
    <row r="581" spans="2:8" x14ac:dyDescent="0.25">
      <c r="B581" s="5"/>
      <c r="C581" s="5"/>
      <c r="D581" s="5"/>
      <c r="H581" s="5"/>
    </row>
    <row r="582" spans="2:8" x14ac:dyDescent="0.25">
      <c r="B582" s="5"/>
      <c r="C582" s="5"/>
      <c r="D582" s="5"/>
      <c r="H582" s="5"/>
    </row>
    <row r="583" spans="2:8" x14ac:dyDescent="0.25">
      <c r="B583" s="5"/>
      <c r="C583" s="5"/>
      <c r="D583" s="5"/>
      <c r="H583" s="5"/>
    </row>
    <row r="584" spans="2:8" x14ac:dyDescent="0.25">
      <c r="B584" s="5"/>
      <c r="C584" s="5"/>
      <c r="D584" s="5"/>
      <c r="H584" s="5"/>
    </row>
    <row r="585" spans="2:8" x14ac:dyDescent="0.25">
      <c r="B585" s="5"/>
      <c r="C585" s="5"/>
      <c r="D585" s="5"/>
      <c r="H585" s="5"/>
    </row>
    <row r="586" spans="2:8" x14ac:dyDescent="0.25">
      <c r="B586" s="5"/>
      <c r="C586" s="5"/>
      <c r="D586" s="5"/>
      <c r="H586" s="5"/>
    </row>
    <row r="587" spans="2:8" x14ac:dyDescent="0.25">
      <c r="B587" s="5"/>
      <c r="C587" s="5"/>
      <c r="D587" s="5"/>
      <c r="H587" s="5"/>
    </row>
    <row r="588" spans="2:8" x14ac:dyDescent="0.25">
      <c r="B588" s="5"/>
      <c r="C588" s="5"/>
      <c r="D588" s="5"/>
      <c r="H588" s="5"/>
    </row>
    <row r="589" spans="2:8" x14ac:dyDescent="0.25">
      <c r="B589" s="5"/>
      <c r="C589" s="5"/>
      <c r="D589" s="5"/>
      <c r="H589" s="5"/>
    </row>
    <row r="590" spans="2:8" x14ac:dyDescent="0.25">
      <c r="B590" s="5"/>
      <c r="C590" s="5"/>
      <c r="D590" s="5"/>
      <c r="H590" s="5"/>
    </row>
    <row r="591" spans="2:8" x14ac:dyDescent="0.25">
      <c r="B591" s="5"/>
      <c r="C591" s="5"/>
      <c r="D591" s="5"/>
      <c r="H591" s="5"/>
    </row>
    <row r="592" spans="2:8" x14ac:dyDescent="0.25">
      <c r="B592" s="5"/>
      <c r="C592" s="5"/>
      <c r="D592" s="5"/>
      <c r="H592" s="5"/>
    </row>
    <row r="593" spans="2:8" x14ac:dyDescent="0.25">
      <c r="B593" s="5"/>
      <c r="C593" s="5"/>
      <c r="D593" s="5"/>
      <c r="H593" s="5"/>
    </row>
    <row r="594" spans="2:8" x14ac:dyDescent="0.25">
      <c r="B594" s="5"/>
      <c r="C594" s="5"/>
      <c r="D594" s="5"/>
      <c r="H594" s="5"/>
    </row>
    <row r="595" spans="2:8" x14ac:dyDescent="0.25">
      <c r="B595" s="5"/>
      <c r="C595" s="5"/>
      <c r="D595" s="5"/>
      <c r="H595" s="5"/>
    </row>
    <row r="596" spans="2:8" x14ac:dyDescent="0.25">
      <c r="B596" s="5"/>
      <c r="C596" s="5"/>
      <c r="D596" s="5"/>
      <c r="H596" s="5"/>
    </row>
    <row r="597" spans="2:8" x14ac:dyDescent="0.25">
      <c r="B597" s="5"/>
      <c r="C597" s="5"/>
      <c r="D597" s="5"/>
      <c r="H597" s="5"/>
    </row>
    <row r="598" spans="2:8" x14ac:dyDescent="0.25">
      <c r="B598" s="5"/>
      <c r="C598" s="5"/>
      <c r="D598" s="5"/>
      <c r="H598" s="5"/>
    </row>
    <row r="599" spans="2:8" x14ac:dyDescent="0.25">
      <c r="B599" s="5"/>
      <c r="C599" s="5"/>
      <c r="D599" s="5"/>
      <c r="H599" s="5"/>
    </row>
    <row r="600" spans="2:8" x14ac:dyDescent="0.25">
      <c r="B600" s="5"/>
      <c r="C600" s="5"/>
      <c r="D600" s="5"/>
      <c r="H600" s="5"/>
    </row>
    <row r="601" spans="2:8" x14ac:dyDescent="0.25">
      <c r="B601" s="5"/>
      <c r="C601" s="5"/>
      <c r="D601" s="5"/>
      <c r="H601" s="5"/>
    </row>
    <row r="602" spans="2:8" x14ac:dyDescent="0.25">
      <c r="B602" s="5"/>
      <c r="C602" s="5"/>
      <c r="D602" s="5"/>
      <c r="H602" s="5"/>
    </row>
    <row r="603" spans="2:8" x14ac:dyDescent="0.25">
      <c r="B603" s="5"/>
      <c r="C603" s="5"/>
      <c r="D603" s="5"/>
      <c r="H603" s="5"/>
    </row>
    <row r="604" spans="2:8" x14ac:dyDescent="0.25">
      <c r="B604" s="5"/>
      <c r="C604" s="5"/>
      <c r="D604" s="5"/>
      <c r="H604" s="5"/>
    </row>
    <row r="605" spans="2:8" x14ac:dyDescent="0.25">
      <c r="B605" s="5"/>
      <c r="C605" s="5"/>
      <c r="D605" s="5"/>
      <c r="H605" s="5"/>
    </row>
    <row r="606" spans="2:8" x14ac:dyDescent="0.25">
      <c r="B606" s="5"/>
      <c r="C606" s="5"/>
      <c r="D606" s="5"/>
      <c r="H606" s="5"/>
    </row>
    <row r="607" spans="2:8" x14ac:dyDescent="0.25">
      <c r="B607" s="5"/>
      <c r="C607" s="5"/>
      <c r="D607" s="5"/>
      <c r="H607" s="5"/>
    </row>
    <row r="608" spans="2:8" x14ac:dyDescent="0.25">
      <c r="B608" s="5"/>
      <c r="C608" s="5"/>
      <c r="D608" s="5"/>
      <c r="H608" s="5"/>
    </row>
    <row r="609" spans="2:8" x14ac:dyDescent="0.25">
      <c r="B609" s="5"/>
      <c r="C609" s="5"/>
      <c r="D609" s="5"/>
      <c r="H609" s="5"/>
    </row>
    <row r="610" spans="2:8" x14ac:dyDescent="0.25">
      <c r="B610" s="5"/>
      <c r="C610" s="5"/>
      <c r="D610" s="5"/>
      <c r="H610" s="5"/>
    </row>
    <row r="611" spans="2:8" x14ac:dyDescent="0.25">
      <c r="B611" s="5"/>
      <c r="C611" s="5"/>
      <c r="D611" s="5"/>
      <c r="H611" s="5"/>
    </row>
    <row r="612" spans="2:8" x14ac:dyDescent="0.25">
      <c r="B612" s="5"/>
      <c r="C612" s="5"/>
      <c r="D612" s="5"/>
      <c r="H612" s="5"/>
    </row>
    <row r="613" spans="2:8" x14ac:dyDescent="0.25">
      <c r="B613" s="5"/>
      <c r="C613" s="5"/>
      <c r="D613" s="5"/>
      <c r="H613" s="5"/>
    </row>
    <row r="614" spans="2:8" x14ac:dyDescent="0.25">
      <c r="B614" s="5"/>
      <c r="C614" s="5"/>
      <c r="D614" s="5"/>
      <c r="H614" s="5"/>
    </row>
    <row r="615" spans="2:8" x14ac:dyDescent="0.25">
      <c r="B615" s="5"/>
      <c r="C615" s="5"/>
      <c r="D615" s="5"/>
      <c r="H615" s="5"/>
    </row>
    <row r="616" spans="2:8" x14ac:dyDescent="0.25">
      <c r="B616" s="5"/>
      <c r="C616" s="5"/>
      <c r="D616" s="5"/>
      <c r="H616" s="5"/>
    </row>
    <row r="617" spans="2:8" x14ac:dyDescent="0.25">
      <c r="B617" s="5"/>
      <c r="C617" s="5"/>
      <c r="D617" s="5"/>
      <c r="H617" s="5"/>
    </row>
    <row r="618" spans="2:8" x14ac:dyDescent="0.25">
      <c r="B618" s="5"/>
      <c r="C618" s="5"/>
      <c r="D618" s="5"/>
      <c r="H618" s="5"/>
    </row>
    <row r="619" spans="2:8" x14ac:dyDescent="0.25">
      <c r="B619" s="5"/>
      <c r="C619" s="5"/>
      <c r="D619" s="5"/>
      <c r="H619" s="5"/>
    </row>
    <row r="620" spans="2:8" x14ac:dyDescent="0.25">
      <c r="B620" s="5"/>
      <c r="C620" s="5"/>
      <c r="D620" s="5"/>
      <c r="H620" s="5"/>
    </row>
    <row r="621" spans="2:8" x14ac:dyDescent="0.25">
      <c r="B621" s="5"/>
      <c r="C621" s="5"/>
      <c r="D621" s="5"/>
      <c r="H621" s="5"/>
    </row>
    <row r="622" spans="2:8" x14ac:dyDescent="0.25">
      <c r="B622" s="5"/>
      <c r="C622" s="5"/>
      <c r="D622" s="5"/>
      <c r="H622" s="5"/>
    </row>
    <row r="623" spans="2:8" x14ac:dyDescent="0.25">
      <c r="B623" s="5"/>
      <c r="C623" s="5"/>
      <c r="D623" s="5"/>
      <c r="H623" s="5"/>
    </row>
    <row r="624" spans="2:8" x14ac:dyDescent="0.25">
      <c r="B624" s="5"/>
      <c r="C624" s="5"/>
      <c r="D624" s="5"/>
      <c r="H624" s="5"/>
    </row>
    <row r="625" spans="2:8" x14ac:dyDescent="0.25">
      <c r="B625" s="5"/>
      <c r="C625" s="5"/>
      <c r="D625" s="5"/>
      <c r="H625" s="5"/>
    </row>
    <row r="626" spans="2:8" x14ac:dyDescent="0.25">
      <c r="B626" s="5"/>
      <c r="C626" s="5"/>
      <c r="D626" s="5"/>
      <c r="H626" s="5"/>
    </row>
    <row r="627" spans="2:8" x14ac:dyDescent="0.25">
      <c r="B627" s="5"/>
      <c r="C627" s="5"/>
      <c r="D627" s="5"/>
      <c r="H627" s="5"/>
    </row>
    <row r="628" spans="2:8" x14ac:dyDescent="0.25">
      <c r="B628" s="5"/>
      <c r="C628" s="5"/>
      <c r="D628" s="5"/>
      <c r="H628" s="5"/>
    </row>
    <row r="629" spans="2:8" x14ac:dyDescent="0.25">
      <c r="B629" s="5"/>
      <c r="C629" s="5"/>
      <c r="D629" s="5"/>
      <c r="H629" s="5"/>
    </row>
    <row r="630" spans="2:8" x14ac:dyDescent="0.25">
      <c r="B630" s="5"/>
      <c r="C630" s="5"/>
      <c r="D630" s="5"/>
      <c r="H630" s="5"/>
    </row>
    <row r="631" spans="2:8" x14ac:dyDescent="0.25">
      <c r="B631" s="5"/>
      <c r="C631" s="5"/>
      <c r="D631" s="5"/>
      <c r="H631" s="5"/>
    </row>
    <row r="632" spans="2:8" x14ac:dyDescent="0.25">
      <c r="B632" s="5"/>
      <c r="C632" s="5"/>
      <c r="D632" s="5"/>
      <c r="H632" s="5"/>
    </row>
    <row r="633" spans="2:8" x14ac:dyDescent="0.25">
      <c r="B633" s="5"/>
      <c r="C633" s="5"/>
      <c r="D633" s="5"/>
      <c r="H633" s="5"/>
    </row>
    <row r="634" spans="2:8" x14ac:dyDescent="0.25">
      <c r="B634" s="5"/>
      <c r="C634" s="5"/>
      <c r="D634" s="5"/>
      <c r="H634" s="5"/>
    </row>
    <row r="635" spans="2:8" x14ac:dyDescent="0.25">
      <c r="B635" s="5"/>
      <c r="C635" s="5"/>
      <c r="D635" s="5"/>
      <c r="H635" s="5"/>
    </row>
    <row r="636" spans="2:8" x14ac:dyDescent="0.25">
      <c r="B636" s="5"/>
      <c r="C636" s="5"/>
      <c r="D636" s="5"/>
      <c r="H636" s="5"/>
    </row>
    <row r="637" spans="2:8" x14ac:dyDescent="0.25">
      <c r="B637" s="5"/>
      <c r="C637" s="5"/>
      <c r="D637" s="5"/>
      <c r="H637" s="5"/>
    </row>
    <row r="638" spans="2:8" x14ac:dyDescent="0.25">
      <c r="B638" s="5"/>
      <c r="C638" s="5"/>
      <c r="D638" s="5"/>
      <c r="H638" s="5"/>
    </row>
    <row r="639" spans="2:8" x14ac:dyDescent="0.25">
      <c r="B639" s="5"/>
      <c r="C639" s="5"/>
      <c r="D639" s="5"/>
      <c r="H639" s="5"/>
    </row>
    <row r="640" spans="2:8" x14ac:dyDescent="0.25">
      <c r="B640" s="5"/>
      <c r="C640" s="5"/>
      <c r="D640" s="5"/>
      <c r="H640" s="5"/>
    </row>
    <row r="641" spans="2:8" x14ac:dyDescent="0.25">
      <c r="B641" s="5"/>
      <c r="C641" s="5"/>
      <c r="D641" s="5"/>
      <c r="H641" s="5"/>
    </row>
    <row r="642" spans="2:8" x14ac:dyDescent="0.25">
      <c r="B642" s="5"/>
      <c r="C642" s="5"/>
      <c r="D642" s="5"/>
      <c r="H642" s="5"/>
    </row>
    <row r="643" spans="2:8" x14ac:dyDescent="0.25">
      <c r="B643" s="5"/>
      <c r="C643" s="5"/>
      <c r="D643" s="5"/>
      <c r="H643" s="5"/>
    </row>
    <row r="644" spans="2:8" x14ac:dyDescent="0.25">
      <c r="B644" s="5"/>
      <c r="C644" s="5"/>
      <c r="D644" s="5"/>
      <c r="H644" s="5"/>
    </row>
    <row r="645" spans="2:8" x14ac:dyDescent="0.25">
      <c r="B645" s="5"/>
      <c r="C645" s="5"/>
      <c r="D645" s="5"/>
      <c r="H645" s="5"/>
    </row>
    <row r="646" spans="2:8" x14ac:dyDescent="0.25">
      <c r="B646" s="5"/>
      <c r="C646" s="5"/>
      <c r="D646" s="5"/>
      <c r="H646" s="5"/>
    </row>
    <row r="647" spans="2:8" x14ac:dyDescent="0.25">
      <c r="B647" s="5"/>
      <c r="C647" s="5"/>
      <c r="D647" s="5"/>
      <c r="H647" s="5"/>
    </row>
    <row r="648" spans="2:8" x14ac:dyDescent="0.25">
      <c r="B648" s="5"/>
      <c r="C648" s="5"/>
      <c r="D648" s="5"/>
      <c r="H648" s="5"/>
    </row>
    <row r="649" spans="2:8" x14ac:dyDescent="0.25">
      <c r="B649" s="5"/>
      <c r="C649" s="5"/>
      <c r="D649" s="5"/>
      <c r="H649" s="5"/>
    </row>
    <row r="650" spans="2:8" x14ac:dyDescent="0.25">
      <c r="B650" s="5"/>
      <c r="C650" s="5"/>
      <c r="D650" s="5"/>
      <c r="H650" s="5"/>
    </row>
    <row r="651" spans="2:8" x14ac:dyDescent="0.25">
      <c r="B651" s="5"/>
      <c r="C651" s="5"/>
      <c r="D651" s="5"/>
      <c r="H651" s="5"/>
    </row>
    <row r="652" spans="2:8" x14ac:dyDescent="0.25">
      <c r="B652" s="5"/>
      <c r="C652" s="5"/>
      <c r="D652" s="5"/>
      <c r="H652" s="5"/>
    </row>
    <row r="653" spans="2:8" x14ac:dyDescent="0.25">
      <c r="B653" s="5"/>
      <c r="C653" s="5"/>
      <c r="D653" s="5"/>
      <c r="H653" s="5"/>
    </row>
    <row r="654" spans="2:8" x14ac:dyDescent="0.25">
      <c r="B654" s="5"/>
      <c r="C654" s="5"/>
      <c r="D654" s="5"/>
      <c r="H654" s="5"/>
    </row>
    <row r="655" spans="2:8" x14ac:dyDescent="0.25">
      <c r="B655" s="5"/>
      <c r="C655" s="5"/>
      <c r="D655" s="5"/>
      <c r="H655" s="5"/>
    </row>
    <row r="656" spans="2:8" x14ac:dyDescent="0.25">
      <c r="B656" s="5"/>
      <c r="C656" s="5"/>
      <c r="D656" s="5"/>
      <c r="H656" s="5"/>
    </row>
    <row r="657" spans="2:8" x14ac:dyDescent="0.25">
      <c r="B657" s="5"/>
      <c r="C657" s="5"/>
      <c r="D657" s="5"/>
      <c r="H657" s="5"/>
    </row>
    <row r="658" spans="2:8" x14ac:dyDescent="0.25">
      <c r="B658" s="5"/>
      <c r="C658" s="5"/>
      <c r="D658" s="5"/>
      <c r="H658" s="5"/>
    </row>
    <row r="659" spans="2:8" x14ac:dyDescent="0.25">
      <c r="B659" s="5"/>
      <c r="C659" s="5"/>
      <c r="D659" s="5"/>
      <c r="H659" s="5"/>
    </row>
    <row r="660" spans="2:8" x14ac:dyDescent="0.25">
      <c r="B660" s="5"/>
      <c r="C660" s="5"/>
      <c r="D660" s="5"/>
      <c r="H660" s="5"/>
    </row>
    <row r="661" spans="2:8" x14ac:dyDescent="0.25">
      <c r="B661" s="5"/>
      <c r="C661" s="5"/>
      <c r="D661" s="5"/>
      <c r="H661" s="5"/>
    </row>
    <row r="662" spans="2:8" x14ac:dyDescent="0.25">
      <c r="B662" s="5"/>
      <c r="C662" s="5"/>
      <c r="D662" s="5"/>
      <c r="H662" s="5"/>
    </row>
    <row r="663" spans="2:8" x14ac:dyDescent="0.25">
      <c r="B663" s="5"/>
      <c r="C663" s="5"/>
      <c r="D663" s="5"/>
      <c r="H663" s="5"/>
    </row>
    <row r="664" spans="2:8" x14ac:dyDescent="0.25">
      <c r="B664" s="5"/>
      <c r="C664" s="5"/>
      <c r="D664" s="5"/>
      <c r="H664" s="5"/>
    </row>
    <row r="665" spans="2:8" x14ac:dyDescent="0.25">
      <c r="B665" s="5"/>
      <c r="C665" s="5"/>
      <c r="D665" s="5"/>
      <c r="H665" s="5"/>
    </row>
    <row r="666" spans="2:8" x14ac:dyDescent="0.25">
      <c r="B666" s="5"/>
      <c r="C666" s="5"/>
      <c r="D666" s="5"/>
      <c r="H666" s="5"/>
    </row>
    <row r="667" spans="2:8" x14ac:dyDescent="0.25">
      <c r="B667" s="5"/>
      <c r="C667" s="5"/>
      <c r="D667" s="5"/>
      <c r="H667" s="5"/>
    </row>
    <row r="668" spans="2:8" x14ac:dyDescent="0.25">
      <c r="B668" s="5"/>
      <c r="C668" s="5"/>
      <c r="D668" s="5"/>
      <c r="H668" s="5"/>
    </row>
    <row r="669" spans="2:8" x14ac:dyDescent="0.25">
      <c r="B669" s="5"/>
      <c r="C669" s="5"/>
      <c r="D669" s="5"/>
      <c r="H669" s="5"/>
    </row>
    <row r="670" spans="2:8" x14ac:dyDescent="0.25">
      <c r="B670" s="5"/>
      <c r="C670" s="5"/>
      <c r="D670" s="5"/>
      <c r="H670" s="5"/>
    </row>
    <row r="671" spans="2:8" x14ac:dyDescent="0.25">
      <c r="B671" s="5"/>
      <c r="C671" s="5"/>
      <c r="D671" s="5"/>
      <c r="H671" s="5"/>
    </row>
    <row r="672" spans="2:8" x14ac:dyDescent="0.25">
      <c r="B672" s="5"/>
      <c r="C672" s="5"/>
      <c r="D672" s="5"/>
      <c r="H672" s="5"/>
    </row>
    <row r="673" spans="2:8" x14ac:dyDescent="0.25">
      <c r="B673" s="5"/>
      <c r="C673" s="5"/>
      <c r="D673" s="5"/>
      <c r="H673" s="5"/>
    </row>
    <row r="674" spans="2:8" x14ac:dyDescent="0.25">
      <c r="B674" s="5"/>
      <c r="C674" s="5"/>
      <c r="D674" s="5"/>
      <c r="H674" s="5"/>
    </row>
    <row r="675" spans="2:8" x14ac:dyDescent="0.25">
      <c r="B675" s="5"/>
      <c r="C675" s="5"/>
      <c r="D675" s="5"/>
      <c r="H675" s="5"/>
    </row>
    <row r="676" spans="2:8" x14ac:dyDescent="0.25">
      <c r="B676" s="5"/>
      <c r="C676" s="5"/>
      <c r="D676" s="5"/>
      <c r="H676" s="5"/>
    </row>
    <row r="677" spans="2:8" x14ac:dyDescent="0.25">
      <c r="B677" s="5"/>
      <c r="C677" s="5"/>
      <c r="D677" s="5"/>
      <c r="H677" s="5"/>
    </row>
    <row r="678" spans="2:8" x14ac:dyDescent="0.25">
      <c r="B678" s="5"/>
      <c r="C678" s="5"/>
      <c r="D678" s="5"/>
      <c r="H678" s="5"/>
    </row>
    <row r="679" spans="2:8" x14ac:dyDescent="0.25">
      <c r="B679" s="5"/>
      <c r="C679" s="5"/>
      <c r="D679" s="5"/>
      <c r="H679" s="5"/>
    </row>
    <row r="680" spans="2:8" x14ac:dyDescent="0.25">
      <c r="B680" s="5"/>
      <c r="C680" s="5"/>
      <c r="D680" s="5"/>
      <c r="H680" s="5"/>
    </row>
    <row r="681" spans="2:8" x14ac:dyDescent="0.25">
      <c r="B681" s="5"/>
      <c r="C681" s="5"/>
      <c r="D681" s="5"/>
      <c r="H681" s="5"/>
    </row>
    <row r="682" spans="2:8" x14ac:dyDescent="0.25">
      <c r="B682" s="5"/>
      <c r="C682" s="5"/>
      <c r="D682" s="5"/>
      <c r="H682" s="5"/>
    </row>
    <row r="683" spans="2:8" x14ac:dyDescent="0.25">
      <c r="B683" s="5"/>
      <c r="C683" s="5"/>
      <c r="D683" s="5"/>
      <c r="H683" s="5"/>
    </row>
    <row r="684" spans="2:8" x14ac:dyDescent="0.25">
      <c r="B684" s="5"/>
      <c r="C684" s="5"/>
      <c r="D684" s="5"/>
      <c r="H684" s="5"/>
    </row>
    <row r="685" spans="2:8" x14ac:dyDescent="0.25">
      <c r="B685" s="5"/>
      <c r="C685" s="5"/>
      <c r="D685" s="5"/>
      <c r="H685" s="5"/>
    </row>
    <row r="686" spans="2:8" x14ac:dyDescent="0.25">
      <c r="B686" s="5"/>
      <c r="C686" s="5"/>
      <c r="D686" s="5"/>
      <c r="H686" s="5"/>
    </row>
    <row r="687" spans="2:8" x14ac:dyDescent="0.25">
      <c r="B687" s="5"/>
      <c r="C687" s="5"/>
      <c r="D687" s="5"/>
      <c r="H687" s="5"/>
    </row>
    <row r="688" spans="2:8" x14ac:dyDescent="0.25">
      <c r="B688" s="5"/>
      <c r="C688" s="5"/>
      <c r="D688" s="5"/>
      <c r="H688" s="5"/>
    </row>
    <row r="689" spans="2:8" x14ac:dyDescent="0.25">
      <c r="B689" s="5"/>
      <c r="C689" s="5"/>
      <c r="D689" s="5"/>
      <c r="H689" s="5"/>
    </row>
    <row r="690" spans="2:8" x14ac:dyDescent="0.25">
      <c r="B690" s="5"/>
      <c r="C690" s="5"/>
      <c r="D690" s="5"/>
      <c r="H690" s="5"/>
    </row>
    <row r="691" spans="2:8" x14ac:dyDescent="0.25">
      <c r="B691" s="5"/>
      <c r="C691" s="5"/>
      <c r="D691" s="5"/>
      <c r="H691" s="5"/>
    </row>
    <row r="692" spans="2:8" x14ac:dyDescent="0.25">
      <c r="B692" s="5"/>
      <c r="C692" s="5"/>
      <c r="D692" s="5"/>
      <c r="H692" s="5"/>
    </row>
    <row r="693" spans="2:8" x14ac:dyDescent="0.25">
      <c r="B693" s="5"/>
      <c r="C693" s="5"/>
      <c r="D693" s="5"/>
      <c r="H693" s="5"/>
    </row>
    <row r="694" spans="2:8" x14ac:dyDescent="0.25">
      <c r="B694" s="5"/>
      <c r="C694" s="5"/>
      <c r="D694" s="5"/>
      <c r="H694" s="5"/>
    </row>
    <row r="695" spans="2:8" x14ac:dyDescent="0.25">
      <c r="B695" s="5"/>
      <c r="C695" s="5"/>
      <c r="D695" s="5"/>
      <c r="H695" s="5"/>
    </row>
    <row r="696" spans="2:8" x14ac:dyDescent="0.25">
      <c r="B696" s="5"/>
      <c r="C696" s="5"/>
      <c r="D696" s="5"/>
      <c r="H696" s="5"/>
    </row>
    <row r="697" spans="2:8" x14ac:dyDescent="0.25">
      <c r="B697" s="5"/>
      <c r="C697" s="5"/>
      <c r="D697" s="5"/>
      <c r="H697" s="5"/>
    </row>
    <row r="698" spans="2:8" x14ac:dyDescent="0.25">
      <c r="B698" s="5"/>
      <c r="C698" s="5"/>
      <c r="D698" s="5"/>
      <c r="H698" s="5"/>
    </row>
    <row r="699" spans="2:8" x14ac:dyDescent="0.25">
      <c r="B699" s="5"/>
      <c r="C699" s="5"/>
      <c r="D699" s="5"/>
      <c r="H699" s="5"/>
    </row>
    <row r="700" spans="2:8" x14ac:dyDescent="0.25">
      <c r="B700" s="5"/>
      <c r="C700" s="5"/>
      <c r="D700" s="5"/>
      <c r="H700" s="5"/>
    </row>
    <row r="701" spans="2:8" x14ac:dyDescent="0.25">
      <c r="B701" s="5"/>
      <c r="C701" s="5"/>
      <c r="D701" s="5"/>
      <c r="H701" s="5"/>
    </row>
    <row r="702" spans="2:8" x14ac:dyDescent="0.25">
      <c r="B702" s="5"/>
      <c r="C702" s="5"/>
      <c r="D702" s="5"/>
      <c r="H702" s="5"/>
    </row>
    <row r="703" spans="2:8" x14ac:dyDescent="0.25">
      <c r="B703" s="5"/>
      <c r="C703" s="5"/>
      <c r="D703" s="5"/>
      <c r="H703" s="5"/>
    </row>
    <row r="704" spans="2:8" x14ac:dyDescent="0.25">
      <c r="B704" s="5"/>
      <c r="C704" s="5"/>
      <c r="D704" s="5"/>
      <c r="H704" s="5"/>
    </row>
    <row r="705" spans="2:8" x14ac:dyDescent="0.25">
      <c r="B705" s="5"/>
      <c r="C705" s="5"/>
      <c r="D705" s="5"/>
      <c r="H705" s="5"/>
    </row>
    <row r="706" spans="2:8" x14ac:dyDescent="0.25">
      <c r="B706" s="5"/>
      <c r="C706" s="5"/>
      <c r="D706" s="5"/>
      <c r="H706" s="5"/>
    </row>
    <row r="707" spans="2:8" x14ac:dyDescent="0.25">
      <c r="B707" s="5"/>
      <c r="C707" s="5"/>
      <c r="D707" s="5"/>
      <c r="H707" s="5"/>
    </row>
    <row r="708" spans="2:8" x14ac:dyDescent="0.25">
      <c r="B708" s="5"/>
      <c r="C708" s="5"/>
      <c r="D708" s="5"/>
      <c r="H708" s="5"/>
    </row>
    <row r="709" spans="2:8" x14ac:dyDescent="0.25">
      <c r="B709" s="5"/>
      <c r="C709" s="5"/>
      <c r="D709" s="5"/>
      <c r="H709" s="5"/>
    </row>
    <row r="710" spans="2:8" x14ac:dyDescent="0.25">
      <c r="B710" s="5"/>
      <c r="C710" s="5"/>
      <c r="D710" s="5"/>
      <c r="H710" s="5"/>
    </row>
    <row r="711" spans="2:8" x14ac:dyDescent="0.25">
      <c r="B711" s="5"/>
      <c r="C711" s="5"/>
      <c r="D711" s="5"/>
      <c r="H711" s="5"/>
    </row>
    <row r="712" spans="2:8" x14ac:dyDescent="0.25">
      <c r="B712" s="5"/>
      <c r="C712" s="5"/>
      <c r="D712" s="5"/>
      <c r="H712" s="5"/>
    </row>
    <row r="713" spans="2:8" x14ac:dyDescent="0.25">
      <c r="B713" s="5"/>
      <c r="C713" s="5"/>
      <c r="D713" s="5"/>
      <c r="H713" s="5"/>
    </row>
    <row r="714" spans="2:8" x14ac:dyDescent="0.25">
      <c r="B714" s="5"/>
      <c r="C714" s="5"/>
      <c r="D714" s="5"/>
      <c r="H714" s="5"/>
    </row>
    <row r="715" spans="2:8" x14ac:dyDescent="0.25">
      <c r="B715" s="5"/>
      <c r="C715" s="5"/>
      <c r="D715" s="5"/>
      <c r="H715" s="5"/>
    </row>
    <row r="716" spans="2:8" x14ac:dyDescent="0.25">
      <c r="B716" s="5"/>
      <c r="C716" s="5"/>
      <c r="D716" s="5"/>
      <c r="H716" s="5"/>
    </row>
    <row r="717" spans="2:8" x14ac:dyDescent="0.25">
      <c r="B717" s="5"/>
      <c r="C717" s="5"/>
      <c r="D717" s="5"/>
      <c r="H717" s="5"/>
    </row>
    <row r="718" spans="2:8" x14ac:dyDescent="0.25">
      <c r="B718" s="5"/>
      <c r="C718" s="5"/>
      <c r="D718" s="5"/>
      <c r="H718" s="5"/>
    </row>
    <row r="719" spans="2:8" x14ac:dyDescent="0.25">
      <c r="B719" s="5"/>
      <c r="C719" s="5"/>
      <c r="D719" s="5"/>
      <c r="H719" s="5"/>
    </row>
    <row r="720" spans="2:8" x14ac:dyDescent="0.25">
      <c r="B720" s="5"/>
      <c r="C720" s="5"/>
      <c r="D720" s="5"/>
      <c r="H720" s="5"/>
    </row>
    <row r="721" spans="2:8" x14ac:dyDescent="0.25">
      <c r="B721" s="5"/>
      <c r="C721" s="5"/>
      <c r="D721" s="5"/>
      <c r="H721" s="5"/>
    </row>
    <row r="722" spans="2:8" x14ac:dyDescent="0.25">
      <c r="B722" s="5"/>
      <c r="C722" s="5"/>
      <c r="D722" s="5"/>
      <c r="H722" s="5"/>
    </row>
    <row r="723" spans="2:8" x14ac:dyDescent="0.25">
      <c r="B723" s="5"/>
      <c r="C723" s="5"/>
      <c r="D723" s="5"/>
      <c r="H723" s="5"/>
    </row>
    <row r="724" spans="2:8" x14ac:dyDescent="0.25">
      <c r="B724" s="5"/>
      <c r="C724" s="5"/>
      <c r="D724" s="5"/>
      <c r="H724" s="5"/>
    </row>
    <row r="725" spans="2:8" x14ac:dyDescent="0.25">
      <c r="B725" s="5"/>
      <c r="C725" s="5"/>
      <c r="D725" s="5"/>
      <c r="H725" s="5"/>
    </row>
    <row r="726" spans="2:8" x14ac:dyDescent="0.25">
      <c r="B726" s="5"/>
      <c r="C726" s="5"/>
      <c r="D726" s="5"/>
      <c r="H726" s="5"/>
    </row>
    <row r="727" spans="2:8" x14ac:dyDescent="0.25">
      <c r="B727" s="5"/>
      <c r="C727" s="5"/>
      <c r="D727" s="5"/>
      <c r="H727" s="5"/>
    </row>
    <row r="728" spans="2:8" x14ac:dyDescent="0.25">
      <c r="B728" s="5"/>
      <c r="C728" s="5"/>
      <c r="D728" s="5"/>
      <c r="H728" s="5"/>
    </row>
    <row r="729" spans="2:8" x14ac:dyDescent="0.25">
      <c r="B729" s="5"/>
      <c r="C729" s="5"/>
      <c r="D729" s="5"/>
      <c r="H729" s="5"/>
    </row>
    <row r="730" spans="2:8" x14ac:dyDescent="0.25">
      <c r="B730" s="5"/>
      <c r="C730" s="5"/>
      <c r="D730" s="5"/>
      <c r="H730" s="5"/>
    </row>
    <row r="731" spans="2:8" x14ac:dyDescent="0.25">
      <c r="B731" s="5"/>
      <c r="C731" s="5"/>
      <c r="D731" s="5"/>
      <c r="H731" s="5"/>
    </row>
    <row r="732" spans="2:8" x14ac:dyDescent="0.25">
      <c r="B732" s="5"/>
      <c r="C732" s="5"/>
      <c r="D732" s="5"/>
      <c r="H732" s="5"/>
    </row>
    <row r="733" spans="2:8" x14ac:dyDescent="0.25">
      <c r="B733" s="5"/>
      <c r="C733" s="5"/>
      <c r="D733" s="5"/>
      <c r="H733" s="5"/>
    </row>
    <row r="734" spans="2:8" x14ac:dyDescent="0.25">
      <c r="B734" s="5"/>
      <c r="C734" s="5"/>
      <c r="D734" s="5"/>
      <c r="H734" s="5"/>
    </row>
    <row r="735" spans="2:8" x14ac:dyDescent="0.25">
      <c r="B735" s="5"/>
      <c r="C735" s="5"/>
      <c r="D735" s="5"/>
      <c r="H735" s="5"/>
    </row>
    <row r="736" spans="2:8" x14ac:dyDescent="0.25">
      <c r="B736" s="5"/>
      <c r="C736" s="5"/>
      <c r="D736" s="5"/>
      <c r="H736" s="5"/>
    </row>
    <row r="737" spans="2:8" x14ac:dyDescent="0.25">
      <c r="B737" s="5"/>
      <c r="C737" s="5"/>
      <c r="D737" s="5"/>
      <c r="H737" s="5"/>
    </row>
    <row r="738" spans="2:8" x14ac:dyDescent="0.25">
      <c r="B738" s="5"/>
      <c r="C738" s="5"/>
      <c r="D738" s="5"/>
      <c r="H738" s="5"/>
    </row>
    <row r="739" spans="2:8" x14ac:dyDescent="0.25">
      <c r="B739" s="5"/>
      <c r="C739" s="5"/>
      <c r="D739" s="5"/>
      <c r="H739" s="5"/>
    </row>
    <row r="740" spans="2:8" x14ac:dyDescent="0.25">
      <c r="B740" s="5"/>
      <c r="C740" s="5"/>
      <c r="D740" s="5"/>
      <c r="H740" s="5"/>
    </row>
    <row r="741" spans="2:8" x14ac:dyDescent="0.25">
      <c r="B741" s="5"/>
      <c r="C741" s="5"/>
      <c r="D741" s="5"/>
      <c r="H741" s="5"/>
    </row>
    <row r="742" spans="2:8" x14ac:dyDescent="0.25">
      <c r="B742" s="5"/>
      <c r="C742" s="5"/>
      <c r="D742" s="5"/>
      <c r="H742" s="5"/>
    </row>
    <row r="743" spans="2:8" x14ac:dyDescent="0.25">
      <c r="B743" s="5"/>
      <c r="C743" s="5"/>
      <c r="D743" s="5"/>
      <c r="H743" s="5"/>
    </row>
    <row r="744" spans="2:8" x14ac:dyDescent="0.25">
      <c r="B744" s="5"/>
      <c r="C744" s="5"/>
      <c r="D744" s="5"/>
      <c r="H744" s="5"/>
    </row>
    <row r="745" spans="2:8" x14ac:dyDescent="0.25">
      <c r="B745" s="5"/>
      <c r="C745" s="5"/>
      <c r="D745" s="5"/>
      <c r="H745" s="5"/>
    </row>
    <row r="746" spans="2:8" x14ac:dyDescent="0.25">
      <c r="B746" s="5"/>
      <c r="C746" s="5"/>
      <c r="D746" s="5"/>
      <c r="H746" s="5"/>
    </row>
    <row r="747" spans="2:8" x14ac:dyDescent="0.25">
      <c r="B747" s="5"/>
      <c r="C747" s="5"/>
      <c r="D747" s="5"/>
      <c r="H747" s="5"/>
    </row>
    <row r="748" spans="2:8" x14ac:dyDescent="0.25">
      <c r="B748" s="5"/>
      <c r="C748" s="5"/>
      <c r="D748" s="5"/>
      <c r="H748" s="5"/>
    </row>
    <row r="749" spans="2:8" x14ac:dyDescent="0.25">
      <c r="B749" s="5"/>
      <c r="C749" s="5"/>
      <c r="D749" s="5"/>
      <c r="H749" s="5"/>
    </row>
    <row r="750" spans="2:8" x14ac:dyDescent="0.25">
      <c r="B750" s="5"/>
      <c r="C750" s="5"/>
      <c r="D750" s="5"/>
      <c r="H750" s="5"/>
    </row>
    <row r="751" spans="2:8" x14ac:dyDescent="0.25">
      <c r="B751" s="5"/>
      <c r="C751" s="5"/>
      <c r="D751" s="5"/>
      <c r="H751" s="5"/>
    </row>
    <row r="752" spans="2:8" x14ac:dyDescent="0.25">
      <c r="B752" s="5"/>
      <c r="C752" s="5"/>
      <c r="D752" s="5"/>
      <c r="H752" s="5"/>
    </row>
    <row r="753" spans="2:8" x14ac:dyDescent="0.25">
      <c r="B753" s="5"/>
      <c r="C753" s="5"/>
      <c r="D753" s="5"/>
      <c r="H753" s="5"/>
    </row>
    <row r="754" spans="2:8" x14ac:dyDescent="0.25">
      <c r="B754" s="5"/>
      <c r="C754" s="5"/>
      <c r="D754" s="5"/>
      <c r="H754" s="5"/>
    </row>
    <row r="755" spans="2:8" x14ac:dyDescent="0.25">
      <c r="B755" s="5"/>
      <c r="C755" s="5"/>
      <c r="D755" s="5"/>
      <c r="H755" s="5"/>
    </row>
    <row r="756" spans="2:8" x14ac:dyDescent="0.25">
      <c r="B756" s="5"/>
      <c r="C756" s="5"/>
      <c r="D756" s="5"/>
      <c r="H756" s="5"/>
    </row>
    <row r="757" spans="2:8" x14ac:dyDescent="0.25">
      <c r="B757" s="5"/>
      <c r="C757" s="5"/>
      <c r="D757" s="5"/>
      <c r="H757" s="5"/>
    </row>
    <row r="758" spans="2:8" x14ac:dyDescent="0.25">
      <c r="B758" s="5"/>
      <c r="C758" s="5"/>
      <c r="D758" s="5"/>
      <c r="H758" s="5"/>
    </row>
    <row r="759" spans="2:8" x14ac:dyDescent="0.25">
      <c r="B759" s="5"/>
      <c r="C759" s="5"/>
      <c r="D759" s="5"/>
      <c r="H759" s="5"/>
    </row>
    <row r="760" spans="2:8" x14ac:dyDescent="0.25">
      <c r="B760" s="5"/>
      <c r="C760" s="5"/>
      <c r="D760" s="5"/>
      <c r="H760" s="5"/>
    </row>
    <row r="761" spans="2:8" x14ac:dyDescent="0.25">
      <c r="B761" s="5"/>
      <c r="C761" s="5"/>
      <c r="D761" s="5"/>
      <c r="H761" s="5"/>
    </row>
    <row r="762" spans="2:8" x14ac:dyDescent="0.25">
      <c r="B762" s="5"/>
      <c r="C762" s="5"/>
      <c r="D762" s="5"/>
      <c r="H762" s="5"/>
    </row>
    <row r="763" spans="2:8" x14ac:dyDescent="0.25">
      <c r="B763" s="5"/>
      <c r="C763" s="5"/>
      <c r="D763" s="5"/>
      <c r="H763" s="5"/>
    </row>
    <row r="764" spans="2:8" x14ac:dyDescent="0.25">
      <c r="B764" s="5"/>
      <c r="C764" s="5"/>
      <c r="D764" s="5"/>
      <c r="H764" s="5"/>
    </row>
    <row r="765" spans="2:8" x14ac:dyDescent="0.25">
      <c r="B765" s="5"/>
      <c r="C765" s="5"/>
      <c r="D765" s="5"/>
      <c r="H765" s="5"/>
    </row>
    <row r="766" spans="2:8" x14ac:dyDescent="0.25">
      <c r="B766" s="5"/>
      <c r="C766" s="5"/>
      <c r="D766" s="5"/>
      <c r="H766" s="5"/>
    </row>
    <row r="767" spans="2:8" x14ac:dyDescent="0.25">
      <c r="B767" s="5"/>
      <c r="C767" s="5"/>
      <c r="D767" s="5"/>
      <c r="H767" s="5"/>
    </row>
    <row r="768" spans="2:8" x14ac:dyDescent="0.25">
      <c r="B768" s="5"/>
      <c r="C768" s="5"/>
      <c r="D768" s="5"/>
      <c r="H768" s="5"/>
    </row>
    <row r="769" spans="2:8" x14ac:dyDescent="0.25">
      <c r="B769" s="5"/>
      <c r="C769" s="5"/>
      <c r="D769" s="5"/>
      <c r="H769" s="5"/>
    </row>
    <row r="770" spans="2:8" x14ac:dyDescent="0.25">
      <c r="B770" s="5"/>
      <c r="C770" s="5"/>
      <c r="D770" s="5"/>
      <c r="H770" s="5"/>
    </row>
    <row r="771" spans="2:8" x14ac:dyDescent="0.25">
      <c r="B771" s="5"/>
      <c r="C771" s="5"/>
      <c r="D771" s="5"/>
      <c r="H771" s="5"/>
    </row>
    <row r="772" spans="2:8" x14ac:dyDescent="0.25">
      <c r="B772" s="5"/>
      <c r="C772" s="5"/>
      <c r="D772" s="5"/>
      <c r="H772" s="5"/>
    </row>
    <row r="773" spans="2:8" x14ac:dyDescent="0.25">
      <c r="B773" s="5"/>
      <c r="C773" s="5"/>
      <c r="D773" s="5"/>
      <c r="H773" s="5"/>
    </row>
    <row r="774" spans="2:8" x14ac:dyDescent="0.25">
      <c r="B774" s="5"/>
      <c r="C774" s="5"/>
      <c r="D774" s="5"/>
      <c r="H774" s="5"/>
    </row>
    <row r="775" spans="2:8" x14ac:dyDescent="0.25">
      <c r="B775" s="5"/>
      <c r="C775" s="5"/>
      <c r="D775" s="5"/>
      <c r="H775" s="5"/>
    </row>
    <row r="776" spans="2:8" x14ac:dyDescent="0.25">
      <c r="B776" s="5"/>
      <c r="C776" s="5"/>
      <c r="D776" s="5"/>
      <c r="H776" s="5"/>
    </row>
    <row r="777" spans="2:8" x14ac:dyDescent="0.25">
      <c r="B777" s="5"/>
      <c r="C777" s="5"/>
      <c r="D777" s="5"/>
      <c r="H777" s="5"/>
    </row>
    <row r="778" spans="2:8" x14ac:dyDescent="0.25">
      <c r="B778" s="5"/>
      <c r="C778" s="5"/>
      <c r="D778" s="5"/>
      <c r="H778" s="5"/>
    </row>
    <row r="779" spans="2:8" x14ac:dyDescent="0.25">
      <c r="B779" s="5"/>
      <c r="C779" s="5"/>
      <c r="D779" s="5"/>
      <c r="H779" s="5"/>
    </row>
    <row r="780" spans="2:8" x14ac:dyDescent="0.25">
      <c r="B780" s="5"/>
      <c r="C780" s="5"/>
      <c r="D780" s="5"/>
      <c r="H780" s="5"/>
    </row>
    <row r="781" spans="2:8" x14ac:dyDescent="0.25">
      <c r="B781" s="5"/>
      <c r="C781" s="5"/>
      <c r="D781" s="5"/>
      <c r="H781" s="5"/>
    </row>
    <row r="782" spans="2:8" x14ac:dyDescent="0.25">
      <c r="B782" s="5"/>
      <c r="C782" s="5"/>
      <c r="D782" s="5"/>
      <c r="H782" s="5"/>
    </row>
    <row r="783" spans="2:8" x14ac:dyDescent="0.25">
      <c r="B783" s="5"/>
      <c r="C783" s="5"/>
      <c r="D783" s="5"/>
      <c r="H783" s="5"/>
    </row>
    <row r="784" spans="2:8" x14ac:dyDescent="0.25">
      <c r="B784" s="5"/>
      <c r="C784" s="5"/>
      <c r="D784" s="5"/>
      <c r="H784" s="5"/>
    </row>
    <row r="785" spans="2:8" x14ac:dyDescent="0.25">
      <c r="B785" s="5"/>
      <c r="C785" s="5"/>
      <c r="D785" s="5"/>
      <c r="H785" s="5"/>
    </row>
    <row r="786" spans="2:8" x14ac:dyDescent="0.25">
      <c r="B786" s="5"/>
      <c r="C786" s="5"/>
      <c r="D786" s="5"/>
      <c r="H786" s="5"/>
    </row>
    <row r="787" spans="2:8" x14ac:dyDescent="0.25">
      <c r="B787" s="5"/>
      <c r="C787" s="5"/>
      <c r="D787" s="5"/>
      <c r="H787" s="5"/>
    </row>
    <row r="788" spans="2:8" x14ac:dyDescent="0.25">
      <c r="B788" s="5"/>
      <c r="C788" s="5"/>
      <c r="D788" s="5"/>
      <c r="H788" s="5"/>
    </row>
    <row r="789" spans="2:8" x14ac:dyDescent="0.25">
      <c r="B789" s="5"/>
      <c r="C789" s="5"/>
      <c r="D789" s="5"/>
      <c r="H789" s="5"/>
    </row>
    <row r="790" spans="2:8" x14ac:dyDescent="0.25">
      <c r="B790" s="5"/>
      <c r="C790" s="5"/>
      <c r="D790" s="5"/>
      <c r="H790" s="5"/>
    </row>
    <row r="791" spans="2:8" x14ac:dyDescent="0.25">
      <c r="B791" s="5"/>
      <c r="C791" s="5"/>
      <c r="D791" s="5"/>
      <c r="H791" s="5"/>
    </row>
    <row r="792" spans="2:8" x14ac:dyDescent="0.25">
      <c r="B792" s="5"/>
      <c r="C792" s="5"/>
      <c r="D792" s="5"/>
      <c r="H792" s="5"/>
    </row>
    <row r="793" spans="2:8" x14ac:dyDescent="0.25">
      <c r="B793" s="5"/>
      <c r="C793" s="5"/>
      <c r="D793" s="5"/>
      <c r="H793" s="5"/>
    </row>
    <row r="794" spans="2:8" x14ac:dyDescent="0.25">
      <c r="B794" s="5"/>
      <c r="C794" s="5"/>
      <c r="D794" s="5"/>
      <c r="H794" s="5"/>
    </row>
    <row r="795" spans="2:8" x14ac:dyDescent="0.25">
      <c r="B795" s="5"/>
      <c r="C795" s="5"/>
      <c r="D795" s="5"/>
      <c r="H795" s="5"/>
    </row>
    <row r="796" spans="2:8" x14ac:dyDescent="0.25">
      <c r="B796" s="5"/>
      <c r="C796" s="5"/>
      <c r="D796" s="5"/>
      <c r="H796" s="5"/>
    </row>
    <row r="797" spans="2:8" x14ac:dyDescent="0.25">
      <c r="B797" s="5"/>
      <c r="C797" s="5"/>
      <c r="D797" s="5"/>
      <c r="H797" s="5"/>
    </row>
    <row r="798" spans="2:8" x14ac:dyDescent="0.25">
      <c r="B798" s="5"/>
      <c r="C798" s="5"/>
      <c r="D798" s="5"/>
      <c r="H798" s="5"/>
    </row>
    <row r="799" spans="2:8" x14ac:dyDescent="0.25">
      <c r="B799" s="5"/>
      <c r="C799" s="5"/>
      <c r="D799" s="5"/>
      <c r="H799" s="5"/>
    </row>
    <row r="800" spans="2:8" x14ac:dyDescent="0.25">
      <c r="B800" s="5"/>
      <c r="C800" s="5"/>
      <c r="D800" s="5"/>
      <c r="H800" s="5"/>
    </row>
    <row r="801" spans="2:8" x14ac:dyDescent="0.25">
      <c r="B801" s="5"/>
      <c r="C801" s="5"/>
      <c r="D801" s="5"/>
      <c r="H801" s="5"/>
    </row>
    <row r="802" spans="2:8" x14ac:dyDescent="0.25">
      <c r="B802" s="5"/>
      <c r="C802" s="5"/>
      <c r="D802" s="5"/>
      <c r="H802" s="5"/>
    </row>
    <row r="803" spans="2:8" x14ac:dyDescent="0.25">
      <c r="B803" s="5"/>
      <c r="C803" s="5"/>
      <c r="D803" s="5"/>
      <c r="H803" s="5"/>
    </row>
    <row r="804" spans="2:8" x14ac:dyDescent="0.25">
      <c r="B804" s="5"/>
      <c r="C804" s="5"/>
      <c r="D804" s="5"/>
      <c r="H804" s="5"/>
    </row>
    <row r="805" spans="2:8" x14ac:dyDescent="0.25">
      <c r="B805" s="5"/>
      <c r="C805" s="5"/>
      <c r="D805" s="5"/>
      <c r="H805" s="5"/>
    </row>
    <row r="806" spans="2:8" x14ac:dyDescent="0.25">
      <c r="B806" s="5"/>
      <c r="C806" s="5"/>
      <c r="D806" s="5"/>
      <c r="H806" s="5"/>
    </row>
    <row r="807" spans="2:8" x14ac:dyDescent="0.25">
      <c r="B807" s="5"/>
      <c r="C807" s="5"/>
      <c r="D807" s="5"/>
      <c r="H807" s="5"/>
    </row>
    <row r="808" spans="2:8" x14ac:dyDescent="0.25">
      <c r="B808" s="5"/>
      <c r="C808" s="5"/>
      <c r="D808" s="5"/>
      <c r="H808" s="5"/>
    </row>
    <row r="809" spans="2:8" x14ac:dyDescent="0.25">
      <c r="B809" s="5"/>
      <c r="C809" s="5"/>
      <c r="D809" s="5"/>
      <c r="H809" s="5"/>
    </row>
    <row r="810" spans="2:8" x14ac:dyDescent="0.25">
      <c r="B810" s="5"/>
      <c r="C810" s="5"/>
      <c r="D810" s="5"/>
      <c r="H810" s="5"/>
    </row>
    <row r="811" spans="2:8" x14ac:dyDescent="0.25">
      <c r="B811" s="5"/>
      <c r="C811" s="5"/>
      <c r="D811" s="5"/>
      <c r="H811" s="5"/>
    </row>
    <row r="812" spans="2:8" x14ac:dyDescent="0.25">
      <c r="B812" s="5"/>
      <c r="C812" s="5"/>
      <c r="D812" s="5"/>
      <c r="H812" s="5"/>
    </row>
    <row r="813" spans="2:8" x14ac:dyDescent="0.25">
      <c r="B813" s="5"/>
      <c r="C813" s="5"/>
      <c r="D813" s="5"/>
      <c r="H813" s="5"/>
    </row>
    <row r="814" spans="2:8" x14ac:dyDescent="0.25">
      <c r="B814" s="5"/>
      <c r="C814" s="5"/>
      <c r="D814" s="5"/>
      <c r="H814" s="5"/>
    </row>
    <row r="815" spans="2:8" x14ac:dyDescent="0.25">
      <c r="B815" s="5"/>
      <c r="C815" s="5"/>
      <c r="D815" s="5"/>
      <c r="H815" s="5"/>
    </row>
    <row r="816" spans="2:8" x14ac:dyDescent="0.25">
      <c r="B816" s="5"/>
      <c r="C816" s="5"/>
      <c r="D816" s="5"/>
      <c r="H816" s="5"/>
    </row>
    <row r="817" spans="2:8" x14ac:dyDescent="0.25">
      <c r="B817" s="5"/>
      <c r="C817" s="5"/>
      <c r="D817" s="5"/>
      <c r="H817" s="5"/>
    </row>
    <row r="818" spans="2:8" x14ac:dyDescent="0.25">
      <c r="B818" s="5"/>
      <c r="C818" s="5"/>
      <c r="D818" s="5"/>
      <c r="H818" s="5"/>
    </row>
    <row r="819" spans="2:8" x14ac:dyDescent="0.25">
      <c r="B819" s="5"/>
      <c r="C819" s="5"/>
      <c r="D819" s="5"/>
      <c r="H819" s="5"/>
    </row>
    <row r="820" spans="2:8" x14ac:dyDescent="0.25">
      <c r="B820" s="5"/>
      <c r="C820" s="5"/>
      <c r="D820" s="5"/>
      <c r="H820" s="5"/>
    </row>
    <row r="821" spans="2:8" x14ac:dyDescent="0.25">
      <c r="B821" s="5"/>
      <c r="C821" s="5"/>
      <c r="D821" s="5"/>
      <c r="H821" s="5"/>
    </row>
    <row r="822" spans="2:8" x14ac:dyDescent="0.25">
      <c r="B822" s="5"/>
      <c r="C822" s="5"/>
      <c r="D822" s="5"/>
      <c r="H822" s="5"/>
    </row>
    <row r="823" spans="2:8" x14ac:dyDescent="0.25">
      <c r="B823" s="5"/>
      <c r="C823" s="5"/>
      <c r="D823" s="5"/>
      <c r="H823" s="5"/>
    </row>
    <row r="824" spans="2:8" x14ac:dyDescent="0.25">
      <c r="B824" s="5"/>
      <c r="C824" s="5"/>
      <c r="D824" s="5"/>
      <c r="H824" s="5"/>
    </row>
    <row r="825" spans="2:8" x14ac:dyDescent="0.25">
      <c r="B825" s="5"/>
      <c r="C825" s="5"/>
      <c r="D825" s="5"/>
      <c r="H825" s="5"/>
    </row>
    <row r="826" spans="2:8" x14ac:dyDescent="0.25">
      <c r="B826" s="5"/>
      <c r="C826" s="5"/>
      <c r="D826" s="5"/>
      <c r="H826" s="5"/>
    </row>
    <row r="827" spans="2:8" x14ac:dyDescent="0.25">
      <c r="B827" s="5"/>
      <c r="C827" s="5"/>
      <c r="D827" s="5"/>
      <c r="H827" s="5"/>
    </row>
    <row r="828" spans="2:8" x14ac:dyDescent="0.25">
      <c r="B828" s="5"/>
      <c r="C828" s="5"/>
      <c r="D828" s="5"/>
      <c r="H828" s="5"/>
    </row>
    <row r="829" spans="2:8" x14ac:dyDescent="0.25">
      <c r="B829" s="5"/>
      <c r="C829" s="5"/>
      <c r="D829" s="5"/>
      <c r="H829" s="5"/>
    </row>
    <row r="830" spans="2:8" x14ac:dyDescent="0.25">
      <c r="B830" s="5"/>
      <c r="C830" s="5"/>
      <c r="D830" s="5"/>
      <c r="H830" s="5"/>
    </row>
    <row r="831" spans="2:8" x14ac:dyDescent="0.25">
      <c r="B831" s="5"/>
      <c r="C831" s="5"/>
      <c r="D831" s="5"/>
      <c r="H831" s="5"/>
    </row>
    <row r="832" spans="2:8" x14ac:dyDescent="0.25">
      <c r="B832" s="5"/>
      <c r="C832" s="5"/>
      <c r="D832" s="5"/>
      <c r="H832" s="5"/>
    </row>
    <row r="833" spans="2:8" x14ac:dyDescent="0.25">
      <c r="B833" s="5"/>
      <c r="C833" s="5"/>
      <c r="D833" s="5"/>
      <c r="H833" s="5"/>
    </row>
    <row r="834" spans="2:8" x14ac:dyDescent="0.25">
      <c r="B834" s="5"/>
      <c r="C834" s="5"/>
      <c r="D834" s="5"/>
      <c r="H834" s="5"/>
    </row>
    <row r="835" spans="2:8" x14ac:dyDescent="0.25">
      <c r="B835" s="5"/>
      <c r="C835" s="5"/>
      <c r="D835" s="5"/>
      <c r="H835" s="5"/>
    </row>
    <row r="836" spans="2:8" x14ac:dyDescent="0.25">
      <c r="B836" s="5"/>
      <c r="C836" s="5"/>
      <c r="D836" s="5"/>
      <c r="H836" s="5"/>
    </row>
    <row r="837" spans="2:8" x14ac:dyDescent="0.25">
      <c r="B837" s="5"/>
      <c r="C837" s="5"/>
      <c r="D837" s="5"/>
      <c r="H837" s="5"/>
    </row>
    <row r="838" spans="2:8" x14ac:dyDescent="0.25">
      <c r="B838" s="5"/>
      <c r="C838" s="5"/>
      <c r="D838" s="5"/>
      <c r="H838" s="5"/>
    </row>
    <row r="839" spans="2:8" x14ac:dyDescent="0.25">
      <c r="B839" s="5"/>
      <c r="C839" s="5"/>
      <c r="D839" s="5"/>
      <c r="H839" s="5"/>
    </row>
    <row r="840" spans="2:8" x14ac:dyDescent="0.25">
      <c r="B840" s="5"/>
      <c r="C840" s="5"/>
      <c r="D840" s="5"/>
      <c r="H840" s="5"/>
    </row>
    <row r="841" spans="2:8" x14ac:dyDescent="0.25">
      <c r="B841" s="5"/>
      <c r="C841" s="5"/>
      <c r="D841" s="5"/>
      <c r="H841" s="5"/>
    </row>
    <row r="842" spans="2:8" x14ac:dyDescent="0.25">
      <c r="B842" s="5"/>
      <c r="C842" s="5"/>
      <c r="D842" s="5"/>
      <c r="H842" s="5"/>
    </row>
    <row r="843" spans="2:8" x14ac:dyDescent="0.25">
      <c r="B843" s="5"/>
      <c r="C843" s="5"/>
      <c r="D843" s="5"/>
      <c r="H843" s="5"/>
    </row>
    <row r="844" spans="2:8" x14ac:dyDescent="0.25">
      <c r="B844" s="5"/>
      <c r="C844" s="5"/>
      <c r="D844" s="5"/>
      <c r="H844" s="5"/>
    </row>
    <row r="845" spans="2:8" x14ac:dyDescent="0.25">
      <c r="B845" s="5"/>
      <c r="C845" s="5"/>
      <c r="D845" s="5"/>
      <c r="H845" s="5"/>
    </row>
    <row r="846" spans="2:8" x14ac:dyDescent="0.25">
      <c r="B846" s="5"/>
      <c r="C846" s="5"/>
      <c r="D846" s="5"/>
      <c r="H846" s="5"/>
    </row>
    <row r="847" spans="2:8" x14ac:dyDescent="0.25">
      <c r="B847" s="5"/>
      <c r="C847" s="5"/>
      <c r="D847" s="5"/>
      <c r="H847" s="5"/>
    </row>
    <row r="848" spans="2:8" x14ac:dyDescent="0.25">
      <c r="B848" s="5"/>
      <c r="C848" s="5"/>
      <c r="D848" s="5"/>
      <c r="H848" s="5"/>
    </row>
    <row r="849" spans="2:8" x14ac:dyDescent="0.25">
      <c r="B849" s="5"/>
      <c r="C849" s="5"/>
      <c r="D849" s="5"/>
      <c r="H849" s="5"/>
    </row>
    <row r="850" spans="2:8" x14ac:dyDescent="0.25">
      <c r="B850" s="5"/>
      <c r="C850" s="5"/>
      <c r="D850" s="5"/>
      <c r="H850" s="5"/>
    </row>
    <row r="851" spans="2:8" x14ac:dyDescent="0.25">
      <c r="B851" s="5"/>
      <c r="C851" s="5"/>
      <c r="D851" s="5"/>
      <c r="H851" s="5"/>
    </row>
    <row r="852" spans="2:8" x14ac:dyDescent="0.25">
      <c r="B852" s="5"/>
      <c r="C852" s="5"/>
      <c r="D852" s="5"/>
      <c r="H852" s="5"/>
    </row>
    <row r="853" spans="2:8" x14ac:dyDescent="0.25">
      <c r="B853" s="5"/>
      <c r="C853" s="5"/>
      <c r="D853" s="5"/>
      <c r="H853" s="5"/>
    </row>
    <row r="854" spans="2:8" x14ac:dyDescent="0.25">
      <c r="B854" s="5"/>
      <c r="C854" s="5"/>
      <c r="D854" s="5"/>
      <c r="H854" s="5"/>
    </row>
    <row r="855" spans="2:8" x14ac:dyDescent="0.25">
      <c r="B855" s="5"/>
      <c r="C855" s="5"/>
      <c r="D855" s="5"/>
      <c r="H855" s="5"/>
    </row>
    <row r="856" spans="2:8" x14ac:dyDescent="0.25">
      <c r="B856" s="5"/>
      <c r="C856" s="5"/>
      <c r="D856" s="5"/>
      <c r="H856" s="5"/>
    </row>
    <row r="857" spans="2:8" x14ac:dyDescent="0.25">
      <c r="B857" s="5"/>
      <c r="C857" s="5"/>
      <c r="D857" s="5"/>
      <c r="H857" s="5"/>
    </row>
    <row r="858" spans="2:8" x14ac:dyDescent="0.25">
      <c r="B858" s="5"/>
      <c r="C858" s="5"/>
      <c r="D858" s="5"/>
      <c r="H858" s="5"/>
    </row>
    <row r="859" spans="2:8" x14ac:dyDescent="0.25">
      <c r="B859" s="5"/>
      <c r="C859" s="5"/>
      <c r="D859" s="5"/>
      <c r="H859" s="5"/>
    </row>
    <row r="860" spans="2:8" x14ac:dyDescent="0.25">
      <c r="B860" s="5"/>
      <c r="C860" s="5"/>
      <c r="D860" s="5"/>
      <c r="H860" s="5"/>
    </row>
    <row r="861" spans="2:8" x14ac:dyDescent="0.25">
      <c r="B861" s="5"/>
      <c r="C861" s="5"/>
      <c r="D861" s="5"/>
      <c r="H861" s="5"/>
    </row>
    <row r="862" spans="2:8" x14ac:dyDescent="0.25">
      <c r="B862" s="5"/>
      <c r="C862" s="5"/>
      <c r="D862" s="5"/>
      <c r="H862" s="5"/>
    </row>
    <row r="863" spans="2:8" x14ac:dyDescent="0.25">
      <c r="B863" s="5"/>
      <c r="C863" s="5"/>
      <c r="D863" s="5"/>
      <c r="H863" s="5"/>
    </row>
    <row r="864" spans="2:8" x14ac:dyDescent="0.25">
      <c r="B864" s="5"/>
      <c r="C864" s="5"/>
      <c r="D864" s="5"/>
      <c r="H864" s="5"/>
    </row>
    <row r="865" spans="2:8" x14ac:dyDescent="0.25">
      <c r="B865" s="5"/>
      <c r="C865" s="5"/>
      <c r="D865" s="5"/>
      <c r="H865" s="5"/>
    </row>
    <row r="866" spans="2:8" x14ac:dyDescent="0.25">
      <c r="B866" s="5"/>
      <c r="C866" s="5"/>
      <c r="D866" s="5"/>
      <c r="H866" s="5"/>
    </row>
    <row r="867" spans="2:8" x14ac:dyDescent="0.25">
      <c r="B867" s="5"/>
      <c r="C867" s="5"/>
      <c r="D867" s="5"/>
      <c r="H867" s="5"/>
    </row>
    <row r="868" spans="2:8" x14ac:dyDescent="0.25">
      <c r="B868" s="5"/>
      <c r="C868" s="5"/>
      <c r="D868" s="5"/>
      <c r="H868" s="5"/>
    </row>
    <row r="869" spans="2:8" x14ac:dyDescent="0.25">
      <c r="B869" s="5"/>
      <c r="C869" s="5"/>
      <c r="D869" s="5"/>
      <c r="H869" s="5"/>
    </row>
    <row r="870" spans="2:8" x14ac:dyDescent="0.25">
      <c r="B870" s="5"/>
      <c r="C870" s="5"/>
      <c r="D870" s="5"/>
      <c r="H870" s="5"/>
    </row>
    <row r="871" spans="2:8" x14ac:dyDescent="0.25">
      <c r="B871" s="5"/>
      <c r="C871" s="5"/>
      <c r="D871" s="5"/>
      <c r="H871" s="5"/>
    </row>
    <row r="872" spans="2:8" x14ac:dyDescent="0.25">
      <c r="B872" s="5"/>
      <c r="C872" s="5"/>
      <c r="D872" s="5"/>
      <c r="H872" s="5"/>
    </row>
    <row r="873" spans="2:8" x14ac:dyDescent="0.25">
      <c r="B873" s="5"/>
      <c r="C873" s="5"/>
      <c r="D873" s="5"/>
      <c r="H873" s="5"/>
    </row>
    <row r="874" spans="2:8" x14ac:dyDescent="0.25">
      <c r="B874" s="5"/>
      <c r="C874" s="5"/>
      <c r="D874" s="5"/>
      <c r="H874" s="5"/>
    </row>
    <row r="875" spans="2:8" x14ac:dyDescent="0.25">
      <c r="B875" s="5"/>
      <c r="C875" s="5"/>
      <c r="D875" s="5"/>
      <c r="H875" s="5"/>
    </row>
    <row r="876" spans="2:8" x14ac:dyDescent="0.25">
      <c r="B876" s="5"/>
      <c r="C876" s="5"/>
      <c r="D876" s="5"/>
      <c r="H876" s="5"/>
    </row>
    <row r="877" spans="2:8" x14ac:dyDescent="0.25">
      <c r="B877" s="5"/>
      <c r="C877" s="5"/>
      <c r="D877" s="5"/>
      <c r="H877" s="5"/>
    </row>
    <row r="878" spans="2:8" x14ac:dyDescent="0.25">
      <c r="B878" s="5"/>
      <c r="C878" s="5"/>
      <c r="D878" s="5"/>
      <c r="H878" s="5"/>
    </row>
    <row r="879" spans="2:8" x14ac:dyDescent="0.25">
      <c r="B879" s="5"/>
      <c r="C879" s="5"/>
      <c r="D879" s="5"/>
      <c r="H879" s="5"/>
    </row>
    <row r="880" spans="2:8" x14ac:dyDescent="0.25">
      <c r="B880" s="5"/>
      <c r="C880" s="5"/>
      <c r="D880" s="5"/>
      <c r="H880" s="5"/>
    </row>
    <row r="881" spans="2:8" x14ac:dyDescent="0.25">
      <c r="B881" s="5"/>
      <c r="C881" s="5"/>
      <c r="D881" s="5"/>
      <c r="H881" s="5"/>
    </row>
    <row r="882" spans="2:8" x14ac:dyDescent="0.25">
      <c r="B882" s="5"/>
      <c r="C882" s="5"/>
      <c r="D882" s="5"/>
      <c r="H882" s="5"/>
    </row>
    <row r="883" spans="2:8" x14ac:dyDescent="0.25">
      <c r="B883" s="5"/>
      <c r="C883" s="5"/>
      <c r="D883" s="5"/>
      <c r="H883" s="5"/>
    </row>
    <row r="884" spans="2:8" x14ac:dyDescent="0.25">
      <c r="B884" s="5"/>
      <c r="C884" s="5"/>
      <c r="D884" s="5"/>
      <c r="H884" s="5"/>
    </row>
    <row r="885" spans="2:8" x14ac:dyDescent="0.25">
      <c r="B885" s="5"/>
      <c r="C885" s="5"/>
      <c r="D885" s="5"/>
      <c r="H885" s="5"/>
    </row>
    <row r="886" spans="2:8" x14ac:dyDescent="0.25">
      <c r="B886" s="5"/>
      <c r="C886" s="5"/>
      <c r="D886" s="5"/>
      <c r="H886" s="5"/>
    </row>
    <row r="887" spans="2:8" x14ac:dyDescent="0.25">
      <c r="B887" s="5"/>
      <c r="C887" s="5"/>
      <c r="D887" s="5"/>
      <c r="H887" s="5"/>
    </row>
    <row r="888" spans="2:8" x14ac:dyDescent="0.25">
      <c r="B888" s="5"/>
      <c r="C888" s="5"/>
      <c r="D888" s="5"/>
      <c r="H888" s="5"/>
    </row>
    <row r="889" spans="2:8" x14ac:dyDescent="0.25">
      <c r="B889" s="5"/>
      <c r="C889" s="5"/>
      <c r="D889" s="5"/>
      <c r="H889" s="5"/>
    </row>
    <row r="890" spans="2:8" x14ac:dyDescent="0.25">
      <c r="B890" s="5"/>
      <c r="C890" s="5"/>
      <c r="D890" s="5"/>
      <c r="H890" s="5"/>
    </row>
    <row r="891" spans="2:8" x14ac:dyDescent="0.25">
      <c r="B891" s="5"/>
      <c r="C891" s="5"/>
      <c r="D891" s="5"/>
      <c r="H891" s="5"/>
    </row>
    <row r="892" spans="2:8" x14ac:dyDescent="0.25">
      <c r="B892" s="5"/>
      <c r="C892" s="5"/>
      <c r="D892" s="5"/>
      <c r="H892" s="5"/>
    </row>
    <row r="893" spans="2:8" x14ac:dyDescent="0.25">
      <c r="B893" s="5"/>
      <c r="C893" s="5"/>
      <c r="D893" s="5"/>
      <c r="H893" s="5"/>
    </row>
    <row r="894" spans="2:8" x14ac:dyDescent="0.25">
      <c r="B894" s="5"/>
      <c r="C894" s="5"/>
      <c r="D894" s="5"/>
      <c r="H894" s="5"/>
    </row>
    <row r="895" spans="2:8" x14ac:dyDescent="0.25">
      <c r="B895" s="5"/>
      <c r="C895" s="5"/>
      <c r="D895" s="5"/>
      <c r="H895" s="5"/>
    </row>
    <row r="896" spans="2:8" x14ac:dyDescent="0.25">
      <c r="B896" s="5"/>
      <c r="C896" s="5"/>
      <c r="D896" s="5"/>
      <c r="H896" s="5"/>
    </row>
    <row r="897" spans="2:8" x14ac:dyDescent="0.25">
      <c r="B897" s="5"/>
      <c r="C897" s="5"/>
      <c r="D897" s="5"/>
      <c r="H897" s="5"/>
    </row>
    <row r="898" spans="2:8" x14ac:dyDescent="0.25">
      <c r="B898" s="5"/>
      <c r="C898" s="5"/>
      <c r="D898" s="5"/>
      <c r="H898" s="5"/>
    </row>
    <row r="899" spans="2:8" x14ac:dyDescent="0.25">
      <c r="B899" s="5"/>
      <c r="C899" s="5"/>
      <c r="D899" s="5"/>
      <c r="H899" s="5"/>
    </row>
    <row r="900" spans="2:8" x14ac:dyDescent="0.25">
      <c r="B900" s="5"/>
      <c r="C900" s="5"/>
      <c r="D900" s="5"/>
      <c r="H900" s="5"/>
    </row>
    <row r="901" spans="2:8" x14ac:dyDescent="0.25">
      <c r="B901" s="5"/>
      <c r="C901" s="5"/>
      <c r="D901" s="5"/>
      <c r="H901" s="5"/>
    </row>
    <row r="902" spans="2:8" x14ac:dyDescent="0.25">
      <c r="B902" s="5"/>
      <c r="C902" s="5"/>
      <c r="D902" s="5"/>
      <c r="H902" s="5"/>
    </row>
    <row r="903" spans="2:8" x14ac:dyDescent="0.25">
      <c r="B903" s="5"/>
      <c r="C903" s="5"/>
      <c r="D903" s="5"/>
      <c r="H903" s="5"/>
    </row>
    <row r="904" spans="2:8" x14ac:dyDescent="0.25">
      <c r="B904" s="5"/>
      <c r="C904" s="5"/>
      <c r="D904" s="5"/>
      <c r="H904" s="5"/>
    </row>
    <row r="905" spans="2:8" x14ac:dyDescent="0.25">
      <c r="B905" s="5"/>
      <c r="C905" s="5"/>
      <c r="D905" s="5"/>
      <c r="H905" s="5"/>
    </row>
    <row r="906" spans="2:8" x14ac:dyDescent="0.25">
      <c r="B906" s="5"/>
      <c r="C906" s="5"/>
      <c r="D906" s="5"/>
      <c r="H906" s="5"/>
    </row>
    <row r="907" spans="2:8" x14ac:dyDescent="0.25">
      <c r="B907" s="5"/>
      <c r="C907" s="5"/>
      <c r="D907" s="5"/>
      <c r="H907" s="5"/>
    </row>
    <row r="908" spans="2:8" x14ac:dyDescent="0.25">
      <c r="B908" s="5"/>
      <c r="C908" s="5"/>
      <c r="D908" s="5"/>
      <c r="H908" s="5"/>
    </row>
    <row r="909" spans="2:8" x14ac:dyDescent="0.25">
      <c r="B909" s="5"/>
      <c r="C909" s="5"/>
      <c r="D909" s="5"/>
      <c r="H909" s="5"/>
    </row>
    <row r="910" spans="2:8" x14ac:dyDescent="0.25">
      <c r="B910" s="5"/>
      <c r="C910" s="5"/>
      <c r="D910" s="5"/>
      <c r="H910" s="5"/>
    </row>
    <row r="911" spans="2:8" x14ac:dyDescent="0.25">
      <c r="B911" s="5"/>
      <c r="C911" s="5"/>
      <c r="D911" s="5"/>
      <c r="H911" s="5"/>
    </row>
    <row r="912" spans="2:8" x14ac:dyDescent="0.25">
      <c r="B912" s="5"/>
      <c r="C912" s="5"/>
      <c r="D912" s="5"/>
      <c r="H912" s="5"/>
    </row>
    <row r="913" spans="2:8" x14ac:dyDescent="0.25">
      <c r="B913" s="5"/>
      <c r="C913" s="5"/>
      <c r="D913" s="5"/>
      <c r="H913" s="5"/>
    </row>
    <row r="914" spans="2:8" x14ac:dyDescent="0.25">
      <c r="B914" s="5"/>
      <c r="C914" s="5"/>
      <c r="D914" s="5"/>
      <c r="H914" s="5"/>
    </row>
    <row r="915" spans="2:8" x14ac:dyDescent="0.25">
      <c r="B915" s="5"/>
      <c r="C915" s="5"/>
      <c r="D915" s="5"/>
      <c r="H915" s="5"/>
    </row>
    <row r="916" spans="2:8" x14ac:dyDescent="0.25">
      <c r="B916" s="5"/>
      <c r="C916" s="5"/>
      <c r="D916" s="5"/>
      <c r="H916" s="5"/>
    </row>
    <row r="917" spans="2:8" x14ac:dyDescent="0.25">
      <c r="B917" s="5"/>
      <c r="C917" s="5"/>
      <c r="D917" s="5"/>
      <c r="H917" s="5"/>
    </row>
    <row r="918" spans="2:8" x14ac:dyDescent="0.25">
      <c r="B918" s="5"/>
      <c r="C918" s="5"/>
      <c r="D918" s="5"/>
      <c r="H918" s="5"/>
    </row>
    <row r="919" spans="2:8" x14ac:dyDescent="0.25">
      <c r="B919" s="5"/>
      <c r="C919" s="5"/>
      <c r="D919" s="5"/>
      <c r="H919" s="5"/>
    </row>
    <row r="920" spans="2:8" x14ac:dyDescent="0.25">
      <c r="B920" s="5"/>
      <c r="C920" s="5"/>
      <c r="D920" s="5"/>
      <c r="H920" s="5"/>
    </row>
    <row r="921" spans="2:8" x14ac:dyDescent="0.25">
      <c r="B921" s="5"/>
      <c r="C921" s="5"/>
      <c r="D921" s="5"/>
      <c r="H921" s="5"/>
    </row>
    <row r="922" spans="2:8" x14ac:dyDescent="0.25">
      <c r="B922" s="5"/>
      <c r="C922" s="5"/>
      <c r="D922" s="5"/>
      <c r="H922" s="5"/>
    </row>
    <row r="923" spans="2:8" x14ac:dyDescent="0.25">
      <c r="B923" s="5"/>
      <c r="C923" s="5"/>
      <c r="D923" s="5"/>
      <c r="H923" s="5"/>
    </row>
    <row r="924" spans="2:8" x14ac:dyDescent="0.25">
      <c r="B924" s="5"/>
      <c r="C924" s="5"/>
      <c r="D924" s="5"/>
      <c r="H924" s="5"/>
    </row>
    <row r="925" spans="2:8" x14ac:dyDescent="0.25">
      <c r="B925" s="5"/>
      <c r="C925" s="5"/>
      <c r="D925" s="5"/>
      <c r="H925" s="5"/>
    </row>
    <row r="926" spans="2:8" x14ac:dyDescent="0.25">
      <c r="B926" s="5"/>
      <c r="C926" s="5"/>
      <c r="D926" s="5"/>
      <c r="H926" s="5"/>
    </row>
    <row r="927" spans="2:8" x14ac:dyDescent="0.25">
      <c r="B927" s="5"/>
      <c r="C927" s="5"/>
      <c r="D927" s="5"/>
      <c r="H927" s="5"/>
    </row>
    <row r="928" spans="2:8" x14ac:dyDescent="0.25">
      <c r="B928" s="5"/>
      <c r="C928" s="5"/>
      <c r="D928" s="5"/>
      <c r="H928" s="5"/>
    </row>
    <row r="929" spans="2:8" x14ac:dyDescent="0.25">
      <c r="B929" s="5"/>
      <c r="C929" s="5"/>
      <c r="D929" s="5"/>
      <c r="H929" s="5"/>
    </row>
    <row r="930" spans="2:8" x14ac:dyDescent="0.25">
      <c r="B930" s="5"/>
      <c r="C930" s="5"/>
      <c r="D930" s="5"/>
      <c r="H930" s="5"/>
    </row>
    <row r="931" spans="2:8" x14ac:dyDescent="0.25">
      <c r="B931" s="5"/>
      <c r="C931" s="5"/>
      <c r="D931" s="5"/>
      <c r="H931" s="5"/>
    </row>
    <row r="932" spans="2:8" x14ac:dyDescent="0.25">
      <c r="B932" s="5"/>
      <c r="C932" s="5"/>
      <c r="D932" s="5"/>
      <c r="H932" s="5"/>
    </row>
    <row r="933" spans="2:8" x14ac:dyDescent="0.25">
      <c r="B933" s="5"/>
      <c r="C933" s="5"/>
      <c r="D933" s="5"/>
      <c r="H933" s="5"/>
    </row>
    <row r="934" spans="2:8" x14ac:dyDescent="0.25">
      <c r="B934" s="5"/>
      <c r="C934" s="5"/>
      <c r="D934" s="5"/>
      <c r="H934" s="5"/>
    </row>
    <row r="935" spans="2:8" x14ac:dyDescent="0.25">
      <c r="B935" s="5"/>
      <c r="C935" s="5"/>
      <c r="D935" s="5"/>
      <c r="H935" s="5"/>
    </row>
    <row r="936" spans="2:8" x14ac:dyDescent="0.25">
      <c r="B936" s="5"/>
      <c r="C936" s="5"/>
      <c r="D936" s="5"/>
      <c r="H936" s="5"/>
    </row>
    <row r="937" spans="2:8" x14ac:dyDescent="0.25">
      <c r="B937" s="5"/>
      <c r="C937" s="5"/>
      <c r="D937" s="5"/>
      <c r="H937" s="5"/>
    </row>
    <row r="938" spans="2:8" x14ac:dyDescent="0.25">
      <c r="B938" s="5"/>
      <c r="C938" s="5"/>
      <c r="D938" s="5"/>
      <c r="H938" s="5"/>
    </row>
    <row r="939" spans="2:8" x14ac:dyDescent="0.25">
      <c r="B939" s="5"/>
      <c r="C939" s="5"/>
      <c r="D939" s="5"/>
      <c r="H939" s="5"/>
    </row>
    <row r="940" spans="2:8" x14ac:dyDescent="0.25">
      <c r="B940" s="5"/>
      <c r="C940" s="5"/>
      <c r="D940" s="5"/>
      <c r="H940" s="5"/>
    </row>
    <row r="941" spans="2:8" x14ac:dyDescent="0.25">
      <c r="B941" s="5"/>
      <c r="C941" s="5"/>
      <c r="D941" s="5"/>
      <c r="H941" s="5"/>
    </row>
    <row r="942" spans="2:8" x14ac:dyDescent="0.25">
      <c r="B942" s="5"/>
      <c r="C942" s="5"/>
      <c r="D942" s="5"/>
      <c r="H942" s="5"/>
    </row>
    <row r="943" spans="2:8" x14ac:dyDescent="0.25">
      <c r="B943" s="5"/>
      <c r="C943" s="5"/>
      <c r="D943" s="5"/>
      <c r="H943" s="5"/>
    </row>
    <row r="944" spans="2:8" x14ac:dyDescent="0.25">
      <c r="B944" s="5"/>
      <c r="C944" s="5"/>
      <c r="D944" s="5"/>
      <c r="H944" s="5"/>
    </row>
    <row r="945" spans="2:8" x14ac:dyDescent="0.25">
      <c r="B945" s="5"/>
      <c r="C945" s="5"/>
      <c r="D945" s="5"/>
      <c r="H945" s="5"/>
    </row>
    <row r="946" spans="2:8" x14ac:dyDescent="0.25">
      <c r="B946" s="5"/>
      <c r="C946" s="5"/>
      <c r="D946" s="5"/>
      <c r="H946" s="5"/>
    </row>
    <row r="947" spans="2:8" x14ac:dyDescent="0.25">
      <c r="B947" s="5"/>
      <c r="C947" s="5"/>
      <c r="D947" s="5"/>
      <c r="H947" s="5"/>
    </row>
    <row r="948" spans="2:8" x14ac:dyDescent="0.25">
      <c r="B948" s="5"/>
      <c r="C948" s="5"/>
      <c r="D948" s="5"/>
      <c r="H948" s="5"/>
    </row>
    <row r="949" spans="2:8" x14ac:dyDescent="0.25">
      <c r="B949" s="5"/>
      <c r="C949" s="5"/>
      <c r="D949" s="5"/>
      <c r="H949" s="5"/>
    </row>
    <row r="950" spans="2:8" x14ac:dyDescent="0.25">
      <c r="B950" s="5"/>
      <c r="C950" s="5"/>
      <c r="D950" s="5"/>
      <c r="H950" s="5"/>
    </row>
    <row r="951" spans="2:8" x14ac:dyDescent="0.25">
      <c r="B951" s="5"/>
      <c r="C951" s="5"/>
      <c r="D951" s="5"/>
      <c r="H951" s="5"/>
    </row>
    <row r="952" spans="2:8" x14ac:dyDescent="0.25">
      <c r="B952" s="5"/>
      <c r="C952" s="5"/>
      <c r="D952" s="5"/>
      <c r="H952" s="5"/>
    </row>
    <row r="953" spans="2:8" x14ac:dyDescent="0.25">
      <c r="B953" s="5"/>
      <c r="C953" s="5"/>
      <c r="D953" s="5"/>
      <c r="H953" s="5"/>
    </row>
    <row r="954" spans="2:8" x14ac:dyDescent="0.25">
      <c r="B954" s="5"/>
      <c r="C954" s="5"/>
      <c r="D954" s="5"/>
      <c r="H954" s="5"/>
    </row>
    <row r="955" spans="2:8" x14ac:dyDescent="0.25">
      <c r="B955" s="5"/>
      <c r="C955" s="5"/>
      <c r="D955" s="5"/>
      <c r="H955" s="5"/>
    </row>
    <row r="956" spans="2:8" x14ac:dyDescent="0.25">
      <c r="B956" s="5"/>
      <c r="C956" s="5"/>
      <c r="D956" s="5"/>
      <c r="H956" s="5"/>
    </row>
    <row r="957" spans="2:8" x14ac:dyDescent="0.25">
      <c r="B957" s="5"/>
      <c r="C957" s="5"/>
      <c r="D957" s="5"/>
      <c r="H957" s="5"/>
    </row>
    <row r="958" spans="2:8" x14ac:dyDescent="0.25">
      <c r="B958" s="5"/>
      <c r="C958" s="5"/>
      <c r="D958" s="5"/>
      <c r="H958" s="5"/>
    </row>
    <row r="959" spans="2:8" x14ac:dyDescent="0.25">
      <c r="B959" s="5"/>
      <c r="C959" s="5"/>
      <c r="D959" s="5"/>
      <c r="H959" s="5"/>
    </row>
    <row r="960" spans="2:8" x14ac:dyDescent="0.25">
      <c r="B960" s="5"/>
      <c r="C960" s="5"/>
      <c r="D960" s="5"/>
      <c r="H960" s="5"/>
    </row>
    <row r="961" spans="2:8" x14ac:dyDescent="0.25">
      <c r="B961" s="5"/>
      <c r="C961" s="5"/>
      <c r="D961" s="5"/>
      <c r="H961" s="5"/>
    </row>
    <row r="962" spans="2:8" x14ac:dyDescent="0.25">
      <c r="B962" s="5"/>
      <c r="C962" s="5"/>
      <c r="D962" s="5"/>
      <c r="H962" s="5"/>
    </row>
    <row r="963" spans="2:8" x14ac:dyDescent="0.25">
      <c r="B963" s="5"/>
      <c r="C963" s="5"/>
      <c r="D963" s="5"/>
      <c r="H963" s="5"/>
    </row>
    <row r="964" spans="2:8" x14ac:dyDescent="0.25">
      <c r="B964" s="5"/>
      <c r="C964" s="5"/>
      <c r="D964" s="5"/>
      <c r="H964" s="5"/>
    </row>
    <row r="965" spans="2:8" x14ac:dyDescent="0.25">
      <c r="B965" s="5"/>
      <c r="C965" s="5"/>
      <c r="D965" s="5"/>
      <c r="H965" s="5"/>
    </row>
    <row r="966" spans="2:8" x14ac:dyDescent="0.25">
      <c r="B966" s="5"/>
      <c r="C966" s="5"/>
      <c r="D966" s="5"/>
      <c r="H966" s="5"/>
    </row>
    <row r="967" spans="2:8" x14ac:dyDescent="0.25">
      <c r="B967" s="5"/>
      <c r="C967" s="5"/>
      <c r="D967" s="5"/>
      <c r="H967" s="5"/>
    </row>
    <row r="968" spans="2:8" x14ac:dyDescent="0.25">
      <c r="B968" s="5"/>
      <c r="C968" s="5"/>
      <c r="D968" s="5"/>
      <c r="H968" s="5"/>
    </row>
    <row r="969" spans="2:8" x14ac:dyDescent="0.25">
      <c r="B969" s="5"/>
      <c r="C969" s="5"/>
      <c r="D969" s="5"/>
      <c r="H969" s="5"/>
    </row>
    <row r="970" spans="2:8" x14ac:dyDescent="0.25">
      <c r="B970" s="5"/>
      <c r="C970" s="5"/>
      <c r="D970" s="5"/>
      <c r="H970" s="5"/>
    </row>
    <row r="971" spans="2:8" x14ac:dyDescent="0.25">
      <c r="B971" s="5"/>
      <c r="C971" s="5"/>
      <c r="D971" s="5"/>
      <c r="H971" s="5"/>
    </row>
    <row r="972" spans="2:8" x14ac:dyDescent="0.25">
      <c r="B972" s="5"/>
      <c r="C972" s="5"/>
      <c r="D972" s="5"/>
      <c r="H972" s="5"/>
    </row>
    <row r="973" spans="2:8" x14ac:dyDescent="0.25">
      <c r="B973" s="5"/>
      <c r="C973" s="5"/>
      <c r="D973" s="5"/>
      <c r="H973" s="5"/>
    </row>
    <row r="974" spans="2:8" x14ac:dyDescent="0.25">
      <c r="B974" s="5"/>
      <c r="C974" s="5"/>
      <c r="D974" s="5"/>
      <c r="H974" s="5"/>
    </row>
    <row r="975" spans="2:8" x14ac:dyDescent="0.25">
      <c r="B975" s="5"/>
      <c r="C975" s="5"/>
      <c r="D975" s="5"/>
      <c r="H975" s="5"/>
    </row>
    <row r="976" spans="2:8" x14ac:dyDescent="0.25">
      <c r="B976" s="5"/>
      <c r="C976" s="5"/>
      <c r="D976" s="5"/>
      <c r="H976" s="5"/>
    </row>
    <row r="977" spans="2:8" x14ac:dyDescent="0.25">
      <c r="B977" s="5"/>
      <c r="C977" s="5"/>
      <c r="D977" s="5"/>
      <c r="H977" s="5"/>
    </row>
    <row r="978" spans="2:8" x14ac:dyDescent="0.25">
      <c r="B978" s="5"/>
      <c r="C978" s="5"/>
      <c r="D978" s="5"/>
      <c r="H978" s="5"/>
    </row>
    <row r="979" spans="2:8" x14ac:dyDescent="0.25">
      <c r="B979" s="5"/>
      <c r="C979" s="5"/>
      <c r="D979" s="5"/>
      <c r="H979" s="5"/>
    </row>
    <row r="980" spans="2:8" x14ac:dyDescent="0.25">
      <c r="B980" s="5"/>
      <c r="C980" s="5"/>
      <c r="D980" s="5"/>
      <c r="H980" s="5"/>
    </row>
    <row r="981" spans="2:8" x14ac:dyDescent="0.25">
      <c r="B981" s="5"/>
      <c r="C981" s="5"/>
      <c r="D981" s="5"/>
      <c r="H981" s="5"/>
    </row>
    <row r="982" spans="2:8" x14ac:dyDescent="0.25">
      <c r="B982" s="5"/>
      <c r="C982" s="5"/>
      <c r="D982" s="5"/>
      <c r="H982" s="5"/>
    </row>
    <row r="983" spans="2:8" x14ac:dyDescent="0.25">
      <c r="B983" s="5"/>
      <c r="C983" s="5"/>
      <c r="D983" s="5"/>
      <c r="H983" s="5"/>
    </row>
    <row r="984" spans="2:8" x14ac:dyDescent="0.25">
      <c r="B984" s="5"/>
      <c r="C984" s="5"/>
      <c r="D984" s="5"/>
      <c r="H984" s="5"/>
    </row>
    <row r="985" spans="2:8" x14ac:dyDescent="0.25">
      <c r="B985" s="5"/>
      <c r="C985" s="5"/>
      <c r="D985" s="5"/>
      <c r="H985" s="5"/>
    </row>
    <row r="986" spans="2:8" x14ac:dyDescent="0.25">
      <c r="B986" s="5"/>
      <c r="C986" s="5"/>
      <c r="D986" s="5"/>
      <c r="H986" s="5"/>
    </row>
    <row r="987" spans="2:8" x14ac:dyDescent="0.25">
      <c r="B987" s="5"/>
      <c r="C987" s="5"/>
      <c r="D987" s="5"/>
      <c r="H987" s="5"/>
    </row>
    <row r="988" spans="2:8" x14ac:dyDescent="0.25">
      <c r="B988" s="5"/>
      <c r="C988" s="5"/>
      <c r="D988" s="5"/>
      <c r="H988" s="5"/>
    </row>
    <row r="989" spans="2:8" x14ac:dyDescent="0.25">
      <c r="B989" s="5"/>
      <c r="C989" s="5"/>
      <c r="D989" s="5"/>
      <c r="H989" s="5"/>
    </row>
    <row r="990" spans="2:8" x14ac:dyDescent="0.25">
      <c r="B990" s="5"/>
      <c r="C990" s="5"/>
      <c r="D990" s="5"/>
      <c r="H990" s="5"/>
    </row>
    <row r="991" spans="2:8" x14ac:dyDescent="0.25">
      <c r="B991" s="5"/>
      <c r="C991" s="5"/>
      <c r="D991" s="5"/>
      <c r="H991" s="5"/>
    </row>
    <row r="992" spans="2:8" x14ac:dyDescent="0.25">
      <c r="B992" s="5"/>
      <c r="C992" s="5"/>
      <c r="D992" s="5"/>
      <c r="H992" s="5"/>
    </row>
    <row r="993" spans="2:8" x14ac:dyDescent="0.25">
      <c r="B993" s="5"/>
      <c r="C993" s="5"/>
      <c r="D993" s="5"/>
      <c r="H993" s="5"/>
    </row>
    <row r="994" spans="2:8" x14ac:dyDescent="0.25">
      <c r="B994" s="5"/>
      <c r="C994" s="5"/>
      <c r="D994" s="5"/>
      <c r="H994" s="5"/>
    </row>
    <row r="995" spans="2:8" x14ac:dyDescent="0.25">
      <c r="B995" s="5"/>
      <c r="C995" s="5"/>
      <c r="D995" s="5"/>
      <c r="H995" s="5"/>
    </row>
    <row r="996" spans="2:8" x14ac:dyDescent="0.25">
      <c r="B996" s="5"/>
      <c r="C996" s="5"/>
      <c r="D996" s="5"/>
      <c r="H996" s="5"/>
    </row>
    <row r="997" spans="2:8" x14ac:dyDescent="0.25">
      <c r="B997" s="5"/>
      <c r="C997" s="5"/>
      <c r="D997" s="5"/>
      <c r="H997" s="5"/>
    </row>
    <row r="998" spans="2:8" x14ac:dyDescent="0.25">
      <c r="B998" s="5"/>
      <c r="C998" s="5"/>
      <c r="D998" s="5"/>
      <c r="H998" s="5"/>
    </row>
    <row r="999" spans="2:8" x14ac:dyDescent="0.25">
      <c r="B999" s="5"/>
      <c r="C999" s="5"/>
      <c r="D999" s="5"/>
      <c r="H999" s="5"/>
    </row>
    <row r="1000" spans="2:8" x14ac:dyDescent="0.25">
      <c r="B1000" s="5"/>
      <c r="C1000" s="5"/>
      <c r="D1000" s="5"/>
      <c r="H1000" s="5"/>
    </row>
  </sheetData>
  <mergeCells count="8">
    <mergeCell ref="A12:C12"/>
    <mergeCell ref="A17:C17"/>
    <mergeCell ref="A1:H1"/>
    <mergeCell ref="A2:H2"/>
    <mergeCell ref="A4:H4"/>
    <mergeCell ref="E9:H9"/>
    <mergeCell ref="A6:C6"/>
    <mergeCell ref="A7:C7"/>
  </mergeCells>
  <dataValidations count="1">
    <dataValidation type="list" allowBlank="1" showErrorMessage="1" sqref="C9:C11 C14:C16 C19:C21">
      <formula1>"Not Executed,Pass,Fail,On Hold"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"/>
  <sheetViews>
    <sheetView workbookViewId="0">
      <selection activeCell="A6" sqref="A6:E6"/>
    </sheetView>
  </sheetViews>
  <sheetFormatPr defaultRowHeight="15" x14ac:dyDescent="0.25"/>
  <cols>
    <col min="1" max="1" width="7" customWidth="1"/>
    <col min="2" max="2" width="35.28515625" customWidth="1"/>
    <col min="3" max="3" width="12.7109375" customWidth="1"/>
    <col min="4" max="5" width="11.85546875" customWidth="1"/>
  </cols>
  <sheetData>
    <row r="1" spans="1:26" s="26" customFormat="1" ht="15.75" customHeight="1" x14ac:dyDescent="0.25">
      <c r="A1" s="152"/>
      <c r="B1" s="153"/>
      <c r="C1" s="153"/>
      <c r="D1" s="153"/>
      <c r="E1" s="153"/>
      <c r="F1" s="153"/>
      <c r="G1" s="153"/>
      <c r="H1" s="153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s="26" customFormat="1" ht="28.5" customHeight="1" x14ac:dyDescent="0.25">
      <c r="A2" s="154" t="s">
        <v>80</v>
      </c>
      <c r="B2" s="153"/>
      <c r="C2" s="153"/>
      <c r="D2" s="153"/>
      <c r="E2" s="153"/>
      <c r="F2" s="153"/>
      <c r="G2" s="153"/>
      <c r="H2" s="153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s="26" customFormat="1" x14ac:dyDescent="0.25">
      <c r="A3" s="25"/>
      <c r="B3" s="25"/>
      <c r="C3" s="25"/>
      <c r="D3" s="25"/>
      <c r="E3" s="25"/>
      <c r="F3" s="25"/>
      <c r="G3" s="25"/>
      <c r="H3" s="2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s="26" customFormat="1" x14ac:dyDescent="0.25">
      <c r="A4" s="157" t="s">
        <v>81</v>
      </c>
      <c r="B4" s="153"/>
      <c r="C4" s="153"/>
      <c r="D4" s="153"/>
      <c r="E4" s="153"/>
      <c r="F4" s="153"/>
      <c r="G4" s="153"/>
      <c r="H4" s="153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s="26" customFormat="1" x14ac:dyDescent="0.25">
      <c r="B5" s="5"/>
      <c r="C5" s="5"/>
      <c r="D5" s="5"/>
      <c r="H5" s="5"/>
    </row>
    <row r="6" spans="1:26" x14ac:dyDescent="0.25">
      <c r="A6" s="30" t="s">
        <v>45</v>
      </c>
      <c r="B6" s="30" t="s">
        <v>46</v>
      </c>
      <c r="C6" s="30" t="s">
        <v>47</v>
      </c>
      <c r="D6" s="30" t="s">
        <v>48</v>
      </c>
      <c r="E6" s="30" t="s">
        <v>49</v>
      </c>
      <c r="F6" s="26"/>
      <c r="G6" s="26"/>
      <c r="H6" s="26"/>
      <c r="I6" s="26"/>
    </row>
    <row r="7" spans="1:26" x14ac:dyDescent="0.25">
      <c r="A7" s="29"/>
      <c r="B7" s="29"/>
      <c r="C7" s="29"/>
      <c r="D7" s="29"/>
      <c r="E7" s="29"/>
    </row>
    <row r="8" spans="1:26" x14ac:dyDescent="0.25">
      <c r="A8" s="29"/>
      <c r="B8" s="29"/>
      <c r="C8" s="29"/>
      <c r="D8" s="29"/>
      <c r="E8" s="29"/>
    </row>
    <row r="9" spans="1:26" x14ac:dyDescent="0.25">
      <c r="A9" s="29"/>
      <c r="B9" s="29"/>
      <c r="C9" s="29"/>
      <c r="D9" s="29"/>
      <c r="E9" s="29"/>
    </row>
    <row r="10" spans="1:26" x14ac:dyDescent="0.25">
      <c r="A10" s="29"/>
      <c r="B10" s="29"/>
      <c r="C10" s="29"/>
      <c r="D10" s="29"/>
      <c r="E10" s="29"/>
    </row>
    <row r="11" spans="1:26" x14ac:dyDescent="0.25">
      <c r="A11" s="29"/>
      <c r="B11" s="29"/>
      <c r="C11" s="29"/>
      <c r="D11" s="29"/>
      <c r="E11" s="29"/>
    </row>
    <row r="12" spans="1:26" x14ac:dyDescent="0.25">
      <c r="A12" s="29"/>
      <c r="B12" s="29"/>
      <c r="C12" s="29"/>
      <c r="D12" s="29"/>
      <c r="E12" s="29"/>
    </row>
    <row r="13" spans="1:26" x14ac:dyDescent="0.25">
      <c r="A13" s="29"/>
      <c r="B13" s="29"/>
      <c r="C13" s="29"/>
      <c r="D13" s="29"/>
      <c r="E13" s="29"/>
    </row>
    <row r="14" spans="1:26" x14ac:dyDescent="0.25">
      <c r="A14" s="29"/>
      <c r="B14" s="29"/>
      <c r="C14" s="29"/>
      <c r="D14" s="29"/>
      <c r="E14" s="29"/>
    </row>
    <row r="15" spans="1:26" x14ac:dyDescent="0.25">
      <c r="A15" s="29"/>
      <c r="B15" s="29"/>
      <c r="C15" s="29"/>
      <c r="D15" s="29"/>
      <c r="E15" s="29"/>
    </row>
    <row r="16" spans="1:26" x14ac:dyDescent="0.25">
      <c r="A16" s="29"/>
      <c r="B16" s="29"/>
      <c r="C16" s="29"/>
      <c r="D16" s="29"/>
      <c r="E16" s="29"/>
    </row>
    <row r="17" spans="1:5" x14ac:dyDescent="0.25">
      <c r="A17" s="29"/>
      <c r="B17" s="29"/>
      <c r="C17" s="29"/>
      <c r="D17" s="29"/>
      <c r="E17" s="29"/>
    </row>
    <row r="18" spans="1:5" x14ac:dyDescent="0.25">
      <c r="A18" s="29"/>
      <c r="B18" s="29"/>
      <c r="C18" s="29"/>
      <c r="D18" s="29"/>
      <c r="E18" s="29"/>
    </row>
  </sheetData>
  <mergeCells count="3">
    <mergeCell ref="A1:H1"/>
    <mergeCell ref="A2:H2"/>
    <mergeCell ref="A4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Execution Summary</vt:lpstr>
      <vt:lpstr>Main test cases</vt:lpstr>
      <vt:lpstr>ReUsable test cases</vt:lpstr>
      <vt:lpstr>Validation table</vt:lpstr>
      <vt:lpstr>Test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Acer</cp:lastModifiedBy>
  <dcterms:created xsi:type="dcterms:W3CDTF">2016-08-05T06:27:30Z</dcterms:created>
  <dcterms:modified xsi:type="dcterms:W3CDTF">2023-08-08T06:10:53Z</dcterms:modified>
</cp:coreProperties>
</file>