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/>
  </bookViews>
  <sheets>
    <sheet name="Test Execution Summary" sheetId="7" r:id="rId1"/>
    <sheet name="Main test cases" sheetId="2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F8" i="7" s="1"/>
  <c r="H13" i="2" l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<sst xmlns="http://schemas.openxmlformats.org/spreadsheetml/2006/main" count="295" uniqueCount="129">
  <si>
    <t xml:space="preserve">Document References  </t>
  </si>
  <si>
    <t>Test Objective</t>
  </si>
  <si>
    <t>Author</t>
  </si>
  <si>
    <t>Traceability Metrix</t>
  </si>
  <si>
    <t>Test scenario</t>
  </si>
  <si>
    <t>Test case ID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</si>
  <si>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</si>
  <si>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</si>
  <si>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</si>
  <si>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</si>
  <si>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</si>
  <si>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</si>
  <si>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</si>
  <si>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</si>
  <si>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</si>
  <si>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</si>
  <si>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</si>
  <si>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</si>
  <si>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</si>
  <si>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</si>
  <si>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</si>
  <si>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</si>
  <si>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</si>
  <si>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</si>
  <si>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</si>
  <si>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</si>
  <si>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</si>
  <si>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</si>
  <si>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</si>
  <si>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</si>
  <si>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</si>
  <si>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</si>
  <si>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</si>
  <si>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</si>
  <si>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</si>
  <si>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</si>
  <si>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</si>
  <si>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</si>
  <si>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</si>
  <si>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</si>
  <si>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</si>
  <si>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</si>
  <si>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</si>
  <si>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</si>
  <si>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</si>
  <si>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</si>
  <si>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</si>
  <si>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</si>
  <si>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</si>
  <si>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</si>
  <si>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</si>
  <si>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</si>
  <si>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</si>
  <si>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</si>
  <si>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</si>
  <si>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</si>
  <si>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</si>
  <si>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</si>
  <si>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</si>
  <si>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</si>
  <si>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</si>
  <si>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</si>
  <si>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</si>
  <si>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</si>
  <si>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</si>
  <si>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</si>
  <si>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</si>
  <si>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</si>
  <si>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</si>
  <si>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</si>
  <si>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</si>
  <si>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</si>
  <si>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</si>
  <si>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</si>
  <si>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</si>
  <si>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</si>
  <si>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</si>
  <si>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</si>
  <si>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</si>
  <si>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</si>
  <si>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</si>
  <si>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</si>
  <si>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</si>
  <si>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Release #: &lt;&gt;</t>
  </si>
  <si>
    <t>Sachini</t>
  </si>
  <si>
    <t>?</t>
  </si>
  <si>
    <t>Tester: Sachini</t>
  </si>
  <si>
    <t>Verify the behaviour</t>
  </si>
  <si>
    <t>Facets</t>
  </si>
  <si>
    <t>1. User must be logging to the event creation screen</t>
  </si>
  <si>
    <t xml:space="preserve">Open the website 
</t>
  </si>
  <si>
    <t>User should be able to open the website &amp; It should be go to event section</t>
  </si>
  <si>
    <t>Select events section</t>
  </si>
  <si>
    <t>User should be able to select the events section</t>
  </si>
  <si>
    <t>Display all events information</t>
  </si>
  <si>
    <t>User should be able to view all event information in table view</t>
  </si>
  <si>
    <t>Click on the event registration setting</t>
  </si>
  <si>
    <t>User should be able to click on the event registration setting</t>
  </si>
  <si>
    <t>User should be able to view registration settings details</t>
  </si>
  <si>
    <t>Display registration settings details</t>
  </si>
  <si>
    <t>Verify the error message</t>
  </si>
  <si>
    <t>Find the registration counter</t>
  </si>
  <si>
    <t>User should be able to find the registration counter</t>
  </si>
  <si>
    <t>US_7635 As a user who has access to delete a registration counter, I should be able to delete a registration counter</t>
  </si>
  <si>
    <t>delete a registration counter</t>
  </si>
  <si>
    <t>US_7635_001</t>
  </si>
  <si>
    <t>Succesfully able to delete a registration counter</t>
  </si>
  <si>
    <t>Click on the delete button</t>
  </si>
  <si>
    <t>User should be able to click on the delete</t>
  </si>
  <si>
    <t>Display confirmation mssage</t>
  </si>
  <si>
    <t>User should be able to view confirmation message"Are you sure, do you want to delete this registration counter?"</t>
  </si>
  <si>
    <t>Select yes action</t>
  </si>
  <si>
    <t>User should be able to click on the yes action</t>
  </si>
  <si>
    <t>The system must be thrown a message like "New registration counter deleted successfully"</t>
  </si>
  <si>
    <t>Select no action</t>
  </si>
  <si>
    <t>The system must be thrown a message like "New registration counter deleted unsuccessfully"</t>
  </si>
  <si>
    <t>Unable to delete a registration counter</t>
  </si>
  <si>
    <t>US_7635_002</t>
  </si>
  <si>
    <t>US_7635_003</t>
  </si>
  <si>
    <t>Select visitor registration counter record</t>
  </si>
  <si>
    <t>User should be able to select visitor registration counter record</t>
  </si>
  <si>
    <t>The system must be thrown a message like "Visitor cannot be deleted"</t>
  </si>
  <si>
    <t>Unable to delete a registration counter - with visitor registration record</t>
  </si>
  <si>
    <t>Succesfully able to delete a registration counter - registration counter is on unlocked status</t>
  </si>
  <si>
    <t>Find the unlock status registration counter</t>
  </si>
  <si>
    <t>User should be able to find the unlock status registration counter</t>
  </si>
  <si>
    <t>US_7635_004</t>
  </si>
  <si>
    <t>&lt; US_7635 As a user who has access to delete a registration counter, I should be able to delete a registration counter&gt;</t>
  </si>
  <si>
    <t>As a user who has access to delete a registration counter, I should be able to delete a registration counter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</si>
</sst>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1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</fills>
  <borders count="2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1" fillId="0" borderId="0"/>
    <xf numFmtId="0" fontId="12" fillId="0" borderId="0" applyNumberFormat="0" applyFill="0" applyBorder="0" applyAlignment="0" applyProtection="0"/>
    <xf numFmtId="0" fontId="1" fillId="0" borderId="0"/>
  </cellStyleXfs>
  <cellXfs count="159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1" fillId="0" borderId="0" xfId="1" applyFont="1" applyAlignment="1"/>
    <xf numFmtId="0" fontId="11" fillId="0" borderId="9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left" vertical="top"/>
    </xf>
    <xf numFmtId="0" fontId="11" fillId="0" borderId="18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1" fillId="0" borderId="9" xfId="1" applyBorder="1" applyAlignment="1">
      <alignment horizontal="center"/>
    </xf>
    <xf numFmtId="0" fontId="10" fillId="4" borderId="9" xfId="0" applyFont="1" applyFill="1" applyBorder="1" applyAlignment="1">
      <alignment vertical="top" wrapText="1"/>
    </xf>
    <xf numFmtId="0" fontId="14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3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8" fillId="0" borderId="9" xfId="0" applyFont="1" applyBorder="1" applyAlignment="1"/>
    <xf numFmtId="0" fontId="9" fillId="13" borderId="9" xfId="0" applyFont="1" applyFill="1" applyBorder="1" applyAlignment="1">
      <alignment horizontal="left" vertical="top"/>
    </xf>
    <xf numFmtId="0" fontId="6" fillId="14" borderId="9" xfId="0" applyFont="1" applyFill="1" applyBorder="1" applyAlignment="1">
      <alignment horizontal="left" vertical="top" wrapText="1"/>
    </xf>
    <xf numFmtId="0" fontId="9" fillId="13" borderId="22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/>
    </xf>
    <xf numFmtId="0" fontId="9" fillId="13" borderId="22" xfId="0" applyFont="1" applyFill="1" applyBorder="1" applyAlignment="1">
      <alignment horizontal="center"/>
    </xf>
    <xf numFmtId="0" fontId="9" fillId="13" borderId="9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horizontal="left" vertical="center"/>
    </xf>
    <xf numFmtId="0" fontId="12" fillId="0" borderId="9" xfId="2" applyBorder="1"/>
    <xf numFmtId="0" fontId="8" fillId="0" borderId="0" xfId="3" applyFont="1" applyFill="1" applyBorder="1" applyAlignment="1"/>
    <xf numFmtId="0" fontId="17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9" fillId="0" borderId="10" xfId="0" applyFont="1" applyFill="1" applyBorder="1" applyAlignment="1">
      <alignment vertical="center"/>
    </xf>
    <xf numFmtId="0" fontId="9" fillId="0" borderId="10" xfId="0" applyFont="1" applyFill="1" applyBorder="1" applyAlignment="1">
      <alignment vertical="top"/>
    </xf>
    <xf numFmtId="0" fontId="9" fillId="0" borderId="22" xfId="0" applyFont="1" applyFill="1" applyBorder="1" applyAlignment="1">
      <alignment vertical="center"/>
    </xf>
    <xf numFmtId="0" fontId="9" fillId="0" borderId="22" xfId="0" applyFont="1" applyFill="1" applyBorder="1" applyAlignment="1">
      <alignment vertical="top"/>
    </xf>
    <xf numFmtId="0" fontId="9" fillId="0" borderId="11" xfId="0" applyFont="1" applyFill="1" applyBorder="1" applyAlignment="1">
      <alignment vertical="center"/>
    </xf>
    <xf numFmtId="0" fontId="8" fillId="5" borderId="14" xfId="3" applyFont="1" applyFill="1" applyBorder="1" applyAlignment="1">
      <alignment horizontal="center"/>
    </xf>
    <xf numFmtId="0" fontId="8" fillId="5" borderId="14" xfId="3" applyFont="1" applyFill="1" applyBorder="1"/>
    <xf numFmtId="0" fontId="8" fillId="5" borderId="10" xfId="3" applyFont="1" applyFill="1" applyBorder="1" applyAlignment="1">
      <alignment horizontal="center"/>
    </xf>
    <xf numFmtId="0" fontId="2" fillId="0" borderId="9" xfId="3" applyFont="1" applyBorder="1" applyAlignment="1">
      <alignment horizontal="center" vertical="center"/>
    </xf>
    <xf numFmtId="0" fontId="2" fillId="2" borderId="9" xfId="3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9" xfId="0" applyFont="1" applyFill="1" applyBorder="1" applyAlignment="1">
      <alignment horizontal="left" vertical="top"/>
    </xf>
    <xf numFmtId="0" fontId="6" fillId="0" borderId="9" xfId="0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horizontal="left" vertical="top" wrapText="1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0" fillId="0" borderId="0" xfId="0" applyFont="1" applyAlignment="1"/>
    <xf numFmtId="0" fontId="9" fillId="0" borderId="11" xfId="0" applyFont="1" applyFill="1" applyBorder="1" applyAlignment="1">
      <alignment vertical="top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0" fillId="0" borderId="0" xfId="0" applyFont="1" applyAlignment="1"/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 vertical="center"/>
    </xf>
    <xf numFmtId="0" fontId="0" fillId="0" borderId="0" xfId="0" applyFont="1" applyAlignment="1"/>
    <xf numFmtId="0" fontId="0" fillId="0" borderId="0" xfId="0" applyFont="1" applyAlignment="1"/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9" fillId="0" borderId="11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14" fillId="0" borderId="12" xfId="1" applyFont="1" applyBorder="1" applyAlignment="1">
      <alignment horizontal="left"/>
    </xf>
    <xf numFmtId="0" fontId="14" fillId="0" borderId="0" xfId="1" applyFont="1" applyBorder="1" applyAlignment="1">
      <alignment horizontal="left"/>
    </xf>
    <xf numFmtId="0" fontId="10" fillId="10" borderId="14" xfId="1" applyFont="1" applyFill="1" applyBorder="1" applyAlignment="1">
      <alignment horizontal="center" vertical="center" wrapText="1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1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11" fillId="0" borderId="13" xfId="1" applyFont="1" applyBorder="1" applyAlignment="1">
      <alignment horizontal="left"/>
    </xf>
    <xf numFmtId="0" fontId="11" fillId="0" borderId="23" xfId="1" applyFont="1" applyBorder="1" applyAlignment="1">
      <alignment horizontal="left"/>
    </xf>
    <xf numFmtId="0" fontId="11" fillId="0" borderId="21" xfId="1" applyFont="1" applyBorder="1" applyAlignment="1">
      <alignment horizontal="left"/>
    </xf>
    <xf numFmtId="0" fontId="8" fillId="5" borderId="9" xfId="3" applyFont="1" applyFill="1" applyBorder="1" applyAlignment="1">
      <alignment horizontal="center"/>
    </xf>
    <xf numFmtId="0" fontId="2" fillId="0" borderId="9" xfId="3" applyFont="1" applyBorder="1" applyAlignment="1">
      <alignment horizontal="left" vertical="top" wrapText="1"/>
    </xf>
    <xf numFmtId="0" fontId="8" fillId="5" borderId="10" xfId="3" applyFont="1" applyFill="1" applyBorder="1" applyAlignment="1">
      <alignment horizontal="left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top" wrapText="1"/>
    </xf>
    <xf numFmtId="0" fontId="10" fillId="4" borderId="21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top" wrapText="1"/>
    </xf>
    <xf numFmtId="0" fontId="10" fillId="12" borderId="9" xfId="0" applyFont="1" applyFill="1" applyBorder="1" applyAlignment="1">
      <alignment horizontal="left" vertical="top" wrapText="1"/>
    </xf>
    <xf numFmtId="0" fontId="9" fillId="0" borderId="10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="" xmlns:a16="http://schemas.microsoft.com/office/drawing/2014/main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6"/>
  <sheetViews>
    <sheetView tabSelected="1" topLeftCell="D1" workbookViewId="0">
      <selection activeCell="E16" sqref="E16:G16"/>
    </sheetView>
  </sheetViews>
  <sheetFormatPr defaultRowHeight="15" x14ac:dyDescent="0.25"/>
  <cols>
    <col min="1" max="1" width="9.140625" style="41"/>
    <col min="2" max="2" width="13.5703125" style="41" customWidth="1"/>
    <col min="3" max="3" width="159.28515625" style="41" bestFit="1" customWidth="1"/>
    <col min="4" max="4" width="26.85546875" style="41" customWidth="1"/>
    <col min="5" max="5" width="21.140625" style="41" bestFit="1" customWidth="1"/>
    <col min="6" max="6" width="15.140625" style="41" customWidth="1"/>
    <col min="7" max="7" width="68" style="41" customWidth="1"/>
    <col min="8" max="8" width="23.7109375" style="41" customWidth="1"/>
    <col min="9" max="16384" width="9.140625" style="41"/>
  </cols>
  <sheetData>
    <row r="2" spans="2:9" x14ac:dyDescent="0.25">
      <c r="D2" s="61" t="s">
        <v>127</v>
      </c>
    </row>
    <row r="4" spans="2:9" x14ac:dyDescent="0.25">
      <c r="B4" s="62"/>
      <c r="C4" s="61" t="s">
        <v>86</v>
      </c>
      <c r="D4" s="61" t="s">
        <v>83</v>
      </c>
      <c r="E4" s="61" t="s">
        <v>82</v>
      </c>
      <c r="F4" s="62"/>
      <c r="G4" s="62"/>
      <c r="H4" s="62"/>
    </row>
    <row r="5" spans="2:9" x14ac:dyDescent="0.25">
      <c r="B5" s="120" t="s">
        <v>66</v>
      </c>
      <c r="C5" s="120"/>
      <c r="D5" s="121"/>
      <c r="E5" s="121"/>
      <c r="F5" s="121"/>
      <c r="G5" s="120"/>
      <c r="H5" s="120"/>
    </row>
    <row r="6" spans="2:9" ht="15" customHeight="1" x14ac:dyDescent="0.25">
      <c r="B6" s="122" t="s">
        <v>45</v>
      </c>
      <c r="C6" s="124" t="s">
        <v>46</v>
      </c>
      <c r="D6" s="126" t="s">
        <v>67</v>
      </c>
      <c r="E6" s="126"/>
      <c r="F6" s="126"/>
      <c r="G6" s="127" t="s">
        <v>68</v>
      </c>
      <c r="H6" s="126" t="s">
        <v>69</v>
      </c>
    </row>
    <row r="7" spans="2:9" ht="30" customHeight="1" x14ac:dyDescent="0.25">
      <c r="B7" s="123"/>
      <c r="C7" s="125"/>
      <c r="D7" s="58" t="s">
        <v>17</v>
      </c>
      <c r="E7" s="58" t="s">
        <v>70</v>
      </c>
      <c r="F7" s="58" t="s">
        <v>71</v>
      </c>
      <c r="G7" s="128"/>
      <c r="H7" s="126"/>
    </row>
    <row r="8" spans="2:9" x14ac:dyDescent="0.25">
      <c r="B8" s="63">
        <v>7635</v>
      </c>
      <c r="C8" s="64" t="s">
        <v>128</v>
      </c>
      <c r="D8" s="59">
        <v>4</v>
      </c>
      <c r="E8" s="46">
        <f t="array" ref="E8">SUM([1]Checklist!H7:H9)</f>
        <v>0</v>
      </c>
      <c r="F8" s="47">
        <f>(D8-E8)</f>
        <v>4</v>
      </c>
      <c r="G8" s="42">
        <v>0</v>
      </c>
      <c r="H8" s="42"/>
      <c r="I8" s="43"/>
    </row>
    <row r="9" spans="2:9" x14ac:dyDescent="0.25">
      <c r="B9" s="44"/>
      <c r="C9" s="45"/>
      <c r="D9" s="44"/>
      <c r="E9" s="44"/>
      <c r="F9" s="44"/>
      <c r="G9" s="44"/>
      <c r="H9" s="44"/>
      <c r="I9" s="44"/>
    </row>
    <row r="10" spans="2:9" x14ac:dyDescent="0.25">
      <c r="B10" s="44"/>
      <c r="C10" s="45"/>
      <c r="D10" s="44"/>
      <c r="E10" s="44"/>
      <c r="F10" s="44"/>
      <c r="G10" s="44"/>
      <c r="H10" s="44"/>
      <c r="I10" s="44"/>
    </row>
    <row r="11" spans="2:9" x14ac:dyDescent="0.25">
      <c r="B11" s="132" t="s">
        <v>3</v>
      </c>
      <c r="C11" s="132"/>
      <c r="D11" s="132"/>
      <c r="E11" s="132"/>
      <c r="F11" s="132"/>
      <c r="G11" s="132"/>
      <c r="H11" s="77"/>
    </row>
    <row r="12" spans="2:9" x14ac:dyDescent="0.25">
      <c r="B12" s="85" t="s">
        <v>73</v>
      </c>
      <c r="C12" s="86" t="s">
        <v>74</v>
      </c>
      <c r="D12" s="87" t="s">
        <v>5</v>
      </c>
      <c r="E12" s="134" t="s">
        <v>4</v>
      </c>
      <c r="F12" s="134"/>
      <c r="G12" s="134"/>
    </row>
    <row r="13" spans="2:9" ht="21.75" customHeight="1" x14ac:dyDescent="0.25">
      <c r="B13" s="88"/>
      <c r="C13" s="89"/>
      <c r="D13" s="78" t="s">
        <v>105</v>
      </c>
      <c r="E13" s="133" t="s">
        <v>106</v>
      </c>
      <c r="F13" s="133"/>
      <c r="G13" s="133"/>
    </row>
    <row r="14" spans="2:9" x14ac:dyDescent="0.25">
      <c r="B14" s="88"/>
      <c r="C14" s="89"/>
      <c r="D14" s="78" t="s">
        <v>117</v>
      </c>
      <c r="E14" s="129" t="s">
        <v>123</v>
      </c>
      <c r="F14" s="130"/>
      <c r="G14" s="131"/>
    </row>
    <row r="15" spans="2:9" x14ac:dyDescent="0.25">
      <c r="B15" s="88"/>
      <c r="C15" s="89"/>
      <c r="D15" s="78" t="s">
        <v>118</v>
      </c>
      <c r="E15" s="129" t="s">
        <v>116</v>
      </c>
      <c r="F15" s="130"/>
      <c r="G15" s="131"/>
    </row>
    <row r="16" spans="2:9" x14ac:dyDescent="0.25">
      <c r="B16" s="88"/>
      <c r="C16" s="89"/>
      <c r="D16" s="78" t="s">
        <v>126</v>
      </c>
      <c r="E16" s="129" t="s">
        <v>122</v>
      </c>
      <c r="F16" s="130"/>
      <c r="G16" s="131"/>
    </row>
  </sheetData>
  <mergeCells count="12">
    <mergeCell ref="E15:G15"/>
    <mergeCell ref="E16:G16"/>
    <mergeCell ref="B11:G11"/>
    <mergeCell ref="E13:G13"/>
    <mergeCell ref="E14:G14"/>
    <mergeCell ref="E12:G12"/>
    <mergeCell ref="B5:H5"/>
    <mergeCell ref="B6:B7"/>
    <mergeCell ref="C6:C7"/>
    <mergeCell ref="D6:F6"/>
    <mergeCell ref="G6:G7"/>
    <mergeCell ref="H6:H7"/>
  </mergeCells>
  <phoneticPr fontId="1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54"/>
  <sheetViews>
    <sheetView topLeftCell="A34" zoomScale="90" zoomScaleNormal="90" workbookViewId="0">
      <selection activeCell="C52" sqref="C52"/>
    </sheetView>
  </sheetViews>
  <sheetFormatPr defaultColWidth="15.140625" defaultRowHeight="15" customHeight="1" outlineLevelRow="1" x14ac:dyDescent="0.25"/>
  <cols>
    <col min="1" max="1" width="18.5703125" customWidth="1"/>
    <col min="2" max="2" width="70.42578125" customWidth="1"/>
    <col min="3" max="3" width="50.42578125" bestFit="1" customWidth="1"/>
    <col min="4" max="4" width="45.28515625" bestFit="1" customWidth="1"/>
    <col min="5" max="5" width="17.85546875" customWidth="1"/>
    <col min="6" max="6" width="163.5703125" bestFit="1" customWidth="1"/>
    <col min="7" max="7" width="17.140625" style="40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</cols>
  <sheetData>
    <row r="1" spans="1:14" ht="15.75" customHeight="1" x14ac:dyDescent="0.25">
      <c r="A1" s="135"/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"/>
      <c r="N1" s="1"/>
    </row>
    <row r="2" spans="1:14" ht="28.5" customHeight="1" x14ac:dyDescent="0.25">
      <c r="A2" s="137" t="s">
        <v>80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"/>
      <c r="N2" s="1"/>
    </row>
    <row r="3" spans="1:14" ht="12.75" customHeight="1" x14ac:dyDescent="0.25">
      <c r="A3" s="2"/>
      <c r="B3" s="2"/>
      <c r="C3" s="2"/>
      <c r="D3" s="2"/>
      <c r="E3" s="2"/>
      <c r="F3" s="2"/>
      <c r="G3" s="39"/>
      <c r="H3" s="2"/>
      <c r="I3" s="2"/>
      <c r="J3" s="2"/>
      <c r="K3" s="2"/>
      <c r="L3" s="2"/>
      <c r="M3" s="1"/>
      <c r="N3" s="1"/>
    </row>
    <row r="4" spans="1:14" ht="16.5" customHeight="1" x14ac:dyDescent="0.25">
      <c r="A4" s="140" t="s">
        <v>81</v>
      </c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"/>
      <c r="N4" s="1"/>
    </row>
    <row r="5" spans="1:14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s="40" customFormat="1" ht="12.75" customHeight="1" x14ac:dyDescent="0.3">
      <c r="A6" s="50" t="s">
        <v>76</v>
      </c>
      <c r="B6" s="68" t="s">
        <v>88</v>
      </c>
      <c r="C6" s="7"/>
      <c r="D6" s="7"/>
      <c r="E6" s="7"/>
      <c r="F6" s="7"/>
      <c r="G6" s="141" t="s">
        <v>64</v>
      </c>
      <c r="H6" s="141"/>
      <c r="I6" s="141"/>
      <c r="J6" s="7"/>
      <c r="K6" s="138" t="s">
        <v>65</v>
      </c>
      <c r="L6" s="139"/>
      <c r="M6" s="7"/>
      <c r="N6" s="7"/>
    </row>
    <row r="7" spans="1:14" ht="33" customHeight="1" x14ac:dyDescent="0.25">
      <c r="A7" s="52" t="s">
        <v>2</v>
      </c>
      <c r="B7" s="53" t="s">
        <v>84</v>
      </c>
      <c r="C7" s="10"/>
      <c r="D7" s="7"/>
      <c r="E7" s="7"/>
      <c r="F7" s="7"/>
      <c r="G7" s="60" t="s">
        <v>72</v>
      </c>
      <c r="H7" s="60" t="s">
        <v>78</v>
      </c>
      <c r="I7" s="60" t="s">
        <v>79</v>
      </c>
      <c r="J7" s="7"/>
      <c r="K7" s="60" t="s">
        <v>72</v>
      </c>
      <c r="L7" s="60" t="s">
        <v>79</v>
      </c>
      <c r="M7" s="7"/>
      <c r="N7" s="7"/>
    </row>
    <row r="8" spans="1:14" ht="12.75" customHeight="1" x14ac:dyDescent="0.25">
      <c r="A8" s="52" t="s">
        <v>9</v>
      </c>
      <c r="B8" s="53">
        <v>45146</v>
      </c>
      <c r="C8" s="90"/>
      <c r="D8" s="7"/>
      <c r="E8" s="7"/>
      <c r="F8" s="7"/>
      <c r="G8" s="48" t="s">
        <v>10</v>
      </c>
      <c r="H8" s="49">
        <f t="array" ref="H8">(COUNTIF(G16:G16,"Pass"))</f>
        <v>0</v>
      </c>
      <c r="I8" s="49">
        <f t="array" ref="I8">(COUNTIF(H16:H16,"Pass"))</f>
        <v>0</v>
      </c>
      <c r="J8" s="7"/>
      <c r="K8" s="48" t="s">
        <v>10</v>
      </c>
      <c r="L8" s="49">
        <f t="array" ref="L8">(COUNTIF(I16:I16,"Pass"))</f>
        <v>0</v>
      </c>
      <c r="M8" s="7"/>
      <c r="N8" s="7"/>
    </row>
    <row r="9" spans="1:14" ht="12.75" customHeight="1" x14ac:dyDescent="0.25">
      <c r="A9" s="52" t="s">
        <v>12</v>
      </c>
      <c r="B9" s="51"/>
      <c r="C9" s="10"/>
      <c r="D9" s="7"/>
      <c r="E9" s="7"/>
      <c r="F9" s="7"/>
      <c r="G9" s="11" t="s">
        <v>13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13</v>
      </c>
      <c r="L9" s="13">
        <f t="array" ref="L9">(COUNTIF(I16:I16,"Fail"))</f>
        <v>0</v>
      </c>
      <c r="M9" s="7"/>
      <c r="N9" s="7"/>
    </row>
    <row r="10" spans="1:14" ht="12.75" customHeight="1" x14ac:dyDescent="0.25">
      <c r="A10" s="52" t="s">
        <v>14</v>
      </c>
      <c r="B10" s="54"/>
      <c r="C10" s="10"/>
      <c r="D10" s="7"/>
      <c r="E10" s="7"/>
      <c r="F10" s="7"/>
      <c r="G10" s="11" t="s">
        <v>15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15</v>
      </c>
      <c r="L10" s="14">
        <f t="array" ref="L10">(COUNTIF(I16:I16,"On Hold"))</f>
        <v>0</v>
      </c>
      <c r="M10" s="7"/>
      <c r="N10" s="7"/>
    </row>
    <row r="11" spans="1:14" ht="12.75" customHeight="1" x14ac:dyDescent="0.25">
      <c r="A11" s="52" t="s">
        <v>0</v>
      </c>
      <c r="B11" s="76"/>
      <c r="C11" s="7"/>
      <c r="D11" s="7"/>
      <c r="E11" s="7"/>
      <c r="F11" s="7"/>
      <c r="G11" s="11" t="s">
        <v>11</v>
      </c>
      <c r="H11" s="15">
        <v>0</v>
      </c>
      <c r="I11" s="15"/>
      <c r="J11" s="7"/>
      <c r="K11" s="11" t="s">
        <v>11</v>
      </c>
      <c r="L11" s="15"/>
      <c r="M11" s="7"/>
      <c r="N11" s="7"/>
    </row>
    <row r="12" spans="1:14" ht="12.75" customHeight="1" x14ac:dyDescent="0.25">
      <c r="A12" s="55" t="s">
        <v>1</v>
      </c>
      <c r="B12" s="54" t="s">
        <v>104</v>
      </c>
      <c r="C12" s="7"/>
      <c r="D12" s="7"/>
      <c r="E12" s="7"/>
      <c r="F12" s="7"/>
      <c r="G12" s="16" t="s">
        <v>16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16</v>
      </c>
      <c r="L12" s="17">
        <f t="array" ref="L12">(COUNTIF(I16:I16,"Not Applicable"))</f>
        <v>0</v>
      </c>
      <c r="M12" s="7"/>
      <c r="N12" s="7"/>
    </row>
    <row r="13" spans="1:14" ht="12.75" customHeight="1" x14ac:dyDescent="0.25">
      <c r="A13" s="56" t="s">
        <v>77</v>
      </c>
      <c r="B13" s="57"/>
      <c r="C13" s="7"/>
      <c r="D13" s="7"/>
      <c r="E13" s="7"/>
      <c r="F13" s="7"/>
      <c r="G13" s="11" t="s">
        <v>17</v>
      </c>
      <c r="H13" s="18">
        <f>SUM(H8:H12)</f>
        <v>0</v>
      </c>
      <c r="I13" s="18">
        <f>SUM(I8:I12)</f>
        <v>0</v>
      </c>
      <c r="J13" s="7"/>
      <c r="K13" s="11" t="s">
        <v>17</v>
      </c>
      <c r="L13" s="18">
        <f>SUM(L8:L12)</f>
        <v>0</v>
      </c>
      <c r="M13" s="7"/>
      <c r="N13" s="7"/>
    </row>
    <row r="14" spans="1:14" ht="12.75" customHeight="1" x14ac:dyDescent="0.25">
      <c r="A14" s="56"/>
      <c r="B14" s="5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ht="25.5" customHeight="1" x14ac:dyDescent="0.25">
      <c r="A15" s="27" t="s">
        <v>18</v>
      </c>
      <c r="B15" s="27" t="s">
        <v>19</v>
      </c>
      <c r="C15" s="27" t="s">
        <v>20</v>
      </c>
      <c r="D15" s="27" t="s">
        <v>21</v>
      </c>
      <c r="E15" s="27" t="s">
        <v>22</v>
      </c>
      <c r="F15" s="27" t="s">
        <v>23</v>
      </c>
      <c r="G15" s="27" t="s">
        <v>75</v>
      </c>
      <c r="H15" s="27" t="s">
        <v>62</v>
      </c>
      <c r="I15" s="27" t="s">
        <v>63</v>
      </c>
      <c r="J15" s="27" t="s">
        <v>26</v>
      </c>
      <c r="K15" s="27" t="s">
        <v>27</v>
      </c>
      <c r="L15" s="27" t="s">
        <v>28</v>
      </c>
      <c r="M15" s="27" t="s">
        <v>42</v>
      </c>
      <c r="N15" s="27" t="s">
        <v>43</v>
      </c>
    </row>
    <row r="16" spans="1:14" s="65" customFormat="1" ht="12.75" customHeight="1" outlineLevel="1" x14ac:dyDescent="0.25">
      <c r="A16" s="142" t="s">
        <v>103</v>
      </c>
      <c r="B16" s="142"/>
      <c r="C16" s="142"/>
      <c r="D16" s="142"/>
      <c r="E16" s="142"/>
      <c r="F16" s="142"/>
      <c r="G16" s="142"/>
      <c r="H16" s="142"/>
      <c r="I16" s="142"/>
      <c r="J16" s="142"/>
      <c r="K16" s="142"/>
      <c r="L16" s="142"/>
      <c r="M16" s="142"/>
      <c r="N16" s="142"/>
    </row>
    <row r="17" spans="1:27" s="66" customFormat="1" ht="21" customHeight="1" x14ac:dyDescent="0.25">
      <c r="A17" s="75"/>
      <c r="B17" s="74"/>
      <c r="C17" s="72"/>
      <c r="D17" s="69"/>
      <c r="E17" s="73"/>
      <c r="F17" s="70"/>
      <c r="G17" s="71"/>
      <c r="H17" s="71"/>
      <c r="I17" s="71"/>
      <c r="J17" s="73"/>
      <c r="K17" s="71"/>
      <c r="L17" s="71"/>
      <c r="M17" s="71"/>
      <c r="N17" s="73"/>
    </row>
    <row r="18" spans="1:27" ht="25.5" customHeight="1" x14ac:dyDescent="0.25">
      <c r="A18" s="146" t="s">
        <v>105</v>
      </c>
      <c r="B18" s="148" t="s">
        <v>106</v>
      </c>
      <c r="C18" s="148" t="s">
        <v>89</v>
      </c>
      <c r="D18" s="94" t="s">
        <v>90</v>
      </c>
      <c r="E18" s="81"/>
      <c r="F18" s="95" t="s">
        <v>91</v>
      </c>
      <c r="G18" s="80" t="s">
        <v>85</v>
      </c>
      <c r="H18" s="80" t="s">
        <v>85</v>
      </c>
      <c r="I18" s="80" t="s">
        <v>11</v>
      </c>
      <c r="J18" s="80"/>
      <c r="K18" s="80" t="s">
        <v>29</v>
      </c>
      <c r="L18" s="80" t="s">
        <v>30</v>
      </c>
      <c r="M18" s="80" t="s">
        <v>44</v>
      </c>
      <c r="N18" s="143"/>
    </row>
    <row r="19" spans="1:27" x14ac:dyDescent="0.25">
      <c r="A19" s="147"/>
      <c r="B19" s="149"/>
      <c r="C19" s="149"/>
      <c r="D19" s="93" t="s">
        <v>92</v>
      </c>
      <c r="E19" s="83"/>
      <c r="F19" s="93" t="s">
        <v>93</v>
      </c>
      <c r="G19" s="82"/>
      <c r="H19" s="82"/>
      <c r="I19" s="82"/>
      <c r="J19" s="82"/>
      <c r="K19" s="82"/>
      <c r="L19" s="82"/>
      <c r="M19" s="82"/>
      <c r="N19" s="144"/>
    </row>
    <row r="20" spans="1:27" s="79" customFormat="1" x14ac:dyDescent="0.25">
      <c r="A20" s="147"/>
      <c r="B20" s="149"/>
      <c r="C20" s="149"/>
      <c r="D20" s="93" t="s">
        <v>94</v>
      </c>
      <c r="E20" s="83"/>
      <c r="F20" s="93" t="s">
        <v>95</v>
      </c>
      <c r="G20" s="84"/>
      <c r="H20" s="84"/>
      <c r="I20" s="84"/>
      <c r="J20" s="84"/>
      <c r="K20" s="84"/>
      <c r="L20" s="84"/>
      <c r="M20" s="84"/>
      <c r="N20" s="145"/>
    </row>
    <row r="21" spans="1:27" s="92" customFormat="1" x14ac:dyDescent="0.25">
      <c r="A21" s="147"/>
      <c r="B21" s="149"/>
      <c r="C21" s="149"/>
      <c r="D21" s="93" t="s">
        <v>96</v>
      </c>
      <c r="E21" s="83"/>
      <c r="F21" s="93" t="s">
        <v>97</v>
      </c>
      <c r="G21" s="82"/>
      <c r="H21" s="82"/>
      <c r="I21" s="82"/>
      <c r="J21" s="82"/>
      <c r="K21" s="82"/>
      <c r="L21" s="82"/>
      <c r="M21" s="82"/>
      <c r="N21" s="91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s="92" customFormat="1" x14ac:dyDescent="0.25">
      <c r="A22" s="147"/>
      <c r="B22" s="149"/>
      <c r="C22" s="149"/>
      <c r="D22" s="93" t="s">
        <v>99</v>
      </c>
      <c r="E22" s="83"/>
      <c r="F22" s="93" t="s">
        <v>98</v>
      </c>
      <c r="G22" s="82"/>
      <c r="H22" s="82"/>
      <c r="I22" s="82"/>
      <c r="J22" s="82"/>
      <c r="K22" s="82"/>
      <c r="L22" s="82"/>
      <c r="M22" s="82"/>
      <c r="N22" s="91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s="106" customFormat="1" x14ac:dyDescent="0.25">
      <c r="A23" s="147"/>
      <c r="B23" s="149"/>
      <c r="C23" s="149"/>
      <c r="D23" s="93" t="s">
        <v>101</v>
      </c>
      <c r="E23" s="83"/>
      <c r="F23" s="93" t="s">
        <v>102</v>
      </c>
      <c r="G23" s="82"/>
      <c r="H23" s="82"/>
      <c r="I23" s="82"/>
      <c r="J23" s="82"/>
      <c r="K23" s="82"/>
      <c r="L23" s="82"/>
      <c r="M23" s="82"/>
      <c r="N23" s="105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s="92" customFormat="1" x14ac:dyDescent="0.25">
      <c r="A24" s="147"/>
      <c r="B24" s="149"/>
      <c r="C24" s="149"/>
      <c r="D24" s="93" t="s">
        <v>107</v>
      </c>
      <c r="E24" s="83"/>
      <c r="F24" s="93" t="s">
        <v>108</v>
      </c>
      <c r="G24" s="82"/>
      <c r="H24" s="82"/>
      <c r="I24" s="82"/>
      <c r="J24" s="82"/>
      <c r="K24" s="82"/>
      <c r="L24" s="82"/>
      <c r="M24" s="82"/>
      <c r="N24" s="91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s="99" customFormat="1" x14ac:dyDescent="0.25">
      <c r="A25" s="96"/>
      <c r="B25" s="97"/>
      <c r="C25" s="97"/>
      <c r="D25" s="93" t="s">
        <v>109</v>
      </c>
      <c r="E25" s="83"/>
      <c r="F25" s="93" t="s">
        <v>110</v>
      </c>
      <c r="G25" s="82"/>
      <c r="H25" s="82"/>
      <c r="I25" s="82"/>
      <c r="J25" s="82"/>
      <c r="K25" s="82"/>
      <c r="L25" s="82"/>
      <c r="M25" s="82"/>
      <c r="N25" s="98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s="104" customFormat="1" x14ac:dyDescent="0.25">
      <c r="A26" s="101"/>
      <c r="B26" s="102"/>
      <c r="C26" s="102"/>
      <c r="D26" s="93" t="s">
        <v>111</v>
      </c>
      <c r="E26" s="83"/>
      <c r="F26" s="93" t="s">
        <v>112</v>
      </c>
      <c r="G26" s="82"/>
      <c r="H26" s="82"/>
      <c r="I26" s="82"/>
      <c r="J26" s="82"/>
      <c r="K26" s="82"/>
      <c r="L26" s="82"/>
      <c r="M26" s="82"/>
      <c r="N26" s="103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s="110" customFormat="1" x14ac:dyDescent="0.25">
      <c r="A27" s="109"/>
      <c r="B27" s="107"/>
      <c r="C27" s="107"/>
      <c r="D27" s="93" t="s">
        <v>87</v>
      </c>
      <c r="E27" s="83"/>
      <c r="F27" s="93" t="s">
        <v>113</v>
      </c>
      <c r="G27" s="82"/>
      <c r="H27" s="82"/>
      <c r="I27" s="82"/>
      <c r="J27" s="82"/>
      <c r="K27" s="82"/>
      <c r="L27" s="82"/>
      <c r="M27" s="82"/>
      <c r="N27" s="108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s="117" customFormat="1" ht="21" customHeight="1" x14ac:dyDescent="0.25">
      <c r="A28" s="75"/>
      <c r="B28" s="74"/>
      <c r="C28" s="72"/>
      <c r="D28" s="69"/>
      <c r="E28" s="73"/>
      <c r="F28" s="70"/>
      <c r="G28" s="71"/>
      <c r="H28" s="71"/>
      <c r="I28" s="71"/>
      <c r="J28" s="73"/>
      <c r="K28" s="71"/>
      <c r="L28" s="71"/>
      <c r="M28" s="71"/>
      <c r="N28" s="73"/>
    </row>
    <row r="29" spans="1:27" s="117" customFormat="1" ht="25.5" customHeight="1" x14ac:dyDescent="0.25">
      <c r="A29" s="146" t="s">
        <v>117</v>
      </c>
      <c r="B29" s="148" t="s">
        <v>123</v>
      </c>
      <c r="C29" s="148" t="s">
        <v>89</v>
      </c>
      <c r="D29" s="94" t="s">
        <v>90</v>
      </c>
      <c r="E29" s="81"/>
      <c r="F29" s="95" t="s">
        <v>91</v>
      </c>
      <c r="G29" s="80" t="s">
        <v>85</v>
      </c>
      <c r="H29" s="80" t="s">
        <v>85</v>
      </c>
      <c r="I29" s="80" t="s">
        <v>11</v>
      </c>
      <c r="J29" s="80"/>
      <c r="K29" s="80" t="s">
        <v>29</v>
      </c>
      <c r="L29" s="80" t="s">
        <v>30</v>
      </c>
      <c r="M29" s="80" t="s">
        <v>44</v>
      </c>
      <c r="N29" s="143"/>
    </row>
    <row r="30" spans="1:27" s="117" customFormat="1" x14ac:dyDescent="0.25">
      <c r="A30" s="147"/>
      <c r="B30" s="149"/>
      <c r="C30" s="149"/>
      <c r="D30" s="93" t="s">
        <v>92</v>
      </c>
      <c r="E30" s="83"/>
      <c r="F30" s="93" t="s">
        <v>93</v>
      </c>
      <c r="G30" s="82"/>
      <c r="H30" s="82"/>
      <c r="I30" s="82"/>
      <c r="J30" s="82"/>
      <c r="K30" s="82"/>
      <c r="L30" s="82"/>
      <c r="M30" s="82"/>
      <c r="N30" s="144"/>
    </row>
    <row r="31" spans="1:27" s="117" customFormat="1" x14ac:dyDescent="0.25">
      <c r="A31" s="147"/>
      <c r="B31" s="149"/>
      <c r="C31" s="149"/>
      <c r="D31" s="93" t="s">
        <v>94</v>
      </c>
      <c r="E31" s="83"/>
      <c r="F31" s="93" t="s">
        <v>95</v>
      </c>
      <c r="G31" s="84"/>
      <c r="H31" s="84"/>
      <c r="I31" s="84"/>
      <c r="J31" s="84"/>
      <c r="K31" s="84"/>
      <c r="L31" s="84"/>
      <c r="M31" s="84"/>
      <c r="N31" s="145"/>
    </row>
    <row r="32" spans="1:27" s="117" customFormat="1" x14ac:dyDescent="0.25">
      <c r="A32" s="147"/>
      <c r="B32" s="149"/>
      <c r="C32" s="149"/>
      <c r="D32" s="93" t="s">
        <v>96</v>
      </c>
      <c r="E32" s="83"/>
      <c r="F32" s="93" t="s">
        <v>97</v>
      </c>
      <c r="G32" s="82"/>
      <c r="H32" s="82"/>
      <c r="I32" s="82"/>
      <c r="J32" s="82"/>
      <c r="K32" s="82"/>
      <c r="L32" s="82"/>
      <c r="M32" s="82"/>
      <c r="N32" s="115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117" customFormat="1" x14ac:dyDescent="0.25">
      <c r="A33" s="147"/>
      <c r="B33" s="149"/>
      <c r="C33" s="149"/>
      <c r="D33" s="93" t="s">
        <v>99</v>
      </c>
      <c r="E33" s="83"/>
      <c r="F33" s="93" t="s">
        <v>98</v>
      </c>
      <c r="G33" s="82"/>
      <c r="H33" s="82"/>
      <c r="I33" s="82"/>
      <c r="J33" s="82"/>
      <c r="K33" s="82"/>
      <c r="L33" s="82"/>
      <c r="M33" s="82"/>
      <c r="N33" s="115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s="117" customFormat="1" x14ac:dyDescent="0.25">
      <c r="A34" s="147"/>
      <c r="B34" s="149"/>
      <c r="C34" s="149"/>
      <c r="D34" s="93" t="s">
        <v>101</v>
      </c>
      <c r="E34" s="83"/>
      <c r="F34" s="93" t="s">
        <v>102</v>
      </c>
      <c r="G34" s="82"/>
      <c r="H34" s="82"/>
      <c r="I34" s="82"/>
      <c r="J34" s="82"/>
      <c r="K34" s="82"/>
      <c r="L34" s="82"/>
      <c r="M34" s="82"/>
      <c r="N34" s="115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s="117" customFormat="1" x14ac:dyDescent="0.25">
      <c r="A35" s="147"/>
      <c r="B35" s="149"/>
      <c r="C35" s="149"/>
      <c r="D35" s="93" t="s">
        <v>124</v>
      </c>
      <c r="E35" s="83"/>
      <c r="F35" s="93" t="s">
        <v>125</v>
      </c>
      <c r="G35" s="82"/>
      <c r="H35" s="82"/>
      <c r="I35" s="82"/>
      <c r="J35" s="82"/>
      <c r="K35" s="82"/>
      <c r="L35" s="82"/>
      <c r="M35" s="82"/>
      <c r="N35" s="115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s="117" customFormat="1" x14ac:dyDescent="0.25">
      <c r="A36" s="147"/>
      <c r="B36" s="149"/>
      <c r="C36" s="149"/>
      <c r="D36" s="93" t="s">
        <v>107</v>
      </c>
      <c r="E36" s="83"/>
      <c r="F36" s="93" t="s">
        <v>108</v>
      </c>
      <c r="G36" s="82"/>
      <c r="H36" s="82"/>
      <c r="I36" s="82"/>
      <c r="J36" s="82"/>
      <c r="K36" s="82"/>
      <c r="L36" s="82"/>
      <c r="M36" s="82"/>
      <c r="N36" s="115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s="117" customFormat="1" x14ac:dyDescent="0.25">
      <c r="A37" s="112"/>
      <c r="B37" s="113"/>
      <c r="C37" s="113"/>
      <c r="D37" s="93" t="s">
        <v>109</v>
      </c>
      <c r="E37" s="83"/>
      <c r="F37" s="93" t="s">
        <v>110</v>
      </c>
      <c r="G37" s="82"/>
      <c r="H37" s="82"/>
      <c r="I37" s="82"/>
      <c r="J37" s="82"/>
      <c r="K37" s="82"/>
      <c r="L37" s="82"/>
      <c r="M37" s="82"/>
      <c r="N37" s="114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s="117" customFormat="1" x14ac:dyDescent="0.25">
      <c r="A38" s="112"/>
      <c r="B38" s="113"/>
      <c r="C38" s="113"/>
      <c r="D38" s="93" t="s">
        <v>111</v>
      </c>
      <c r="E38" s="83"/>
      <c r="F38" s="93" t="s">
        <v>112</v>
      </c>
      <c r="G38" s="82"/>
      <c r="H38" s="82"/>
      <c r="I38" s="82"/>
      <c r="J38" s="82"/>
      <c r="K38" s="82"/>
      <c r="L38" s="82"/>
      <c r="M38" s="82"/>
      <c r="N38" s="114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s="117" customFormat="1" x14ac:dyDescent="0.25">
      <c r="A39" s="112"/>
      <c r="B39" s="113"/>
      <c r="C39" s="113"/>
      <c r="D39" s="93" t="s">
        <v>87</v>
      </c>
      <c r="E39" s="83"/>
      <c r="F39" s="93" t="s">
        <v>113</v>
      </c>
      <c r="G39" s="82"/>
      <c r="H39" s="82"/>
      <c r="I39" s="82"/>
      <c r="J39" s="82"/>
      <c r="K39" s="82"/>
      <c r="L39" s="82"/>
      <c r="M39" s="82"/>
      <c r="N39" s="114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s="110" customFormat="1" ht="21" customHeight="1" x14ac:dyDescent="0.25">
      <c r="A40" s="75"/>
      <c r="B40" s="74"/>
      <c r="C40" s="72"/>
      <c r="D40" s="69"/>
      <c r="E40" s="73"/>
      <c r="F40" s="70"/>
      <c r="G40" s="71"/>
      <c r="H40" s="71"/>
      <c r="I40" s="71"/>
      <c r="J40" s="73"/>
      <c r="K40" s="71"/>
      <c r="L40" s="71"/>
      <c r="M40" s="71"/>
      <c r="N40" s="73"/>
    </row>
    <row r="41" spans="1:27" s="110" customFormat="1" ht="25.5" customHeight="1" x14ac:dyDescent="0.25">
      <c r="A41" s="146" t="s">
        <v>118</v>
      </c>
      <c r="B41" s="148" t="s">
        <v>116</v>
      </c>
      <c r="C41" s="148" t="s">
        <v>89</v>
      </c>
      <c r="D41" s="94" t="s">
        <v>90</v>
      </c>
      <c r="E41" s="81"/>
      <c r="F41" s="95" t="s">
        <v>91</v>
      </c>
      <c r="G41" s="80" t="s">
        <v>85</v>
      </c>
      <c r="H41" s="80" t="s">
        <v>85</v>
      </c>
      <c r="I41" s="80" t="s">
        <v>11</v>
      </c>
      <c r="J41" s="80"/>
      <c r="K41" s="80" t="s">
        <v>29</v>
      </c>
      <c r="L41" s="80" t="s">
        <v>30</v>
      </c>
      <c r="M41" s="80" t="s">
        <v>44</v>
      </c>
      <c r="N41" s="143"/>
    </row>
    <row r="42" spans="1:27" s="117" customFormat="1" ht="25.5" customHeight="1" x14ac:dyDescent="0.25">
      <c r="A42" s="147"/>
      <c r="B42" s="149"/>
      <c r="C42" s="149"/>
      <c r="D42" s="93" t="s">
        <v>92</v>
      </c>
      <c r="E42" s="83"/>
      <c r="F42" s="93" t="s">
        <v>93</v>
      </c>
      <c r="G42" s="82"/>
      <c r="H42" s="82"/>
      <c r="I42" s="82"/>
      <c r="J42" s="82"/>
      <c r="K42" s="82"/>
      <c r="L42" s="82"/>
      <c r="M42" s="82"/>
      <c r="N42" s="144"/>
    </row>
    <row r="43" spans="1:27" s="110" customFormat="1" x14ac:dyDescent="0.25">
      <c r="A43" s="147"/>
      <c r="B43" s="149"/>
      <c r="C43" s="149"/>
      <c r="D43" s="93" t="s">
        <v>94</v>
      </c>
      <c r="E43" s="83"/>
      <c r="F43" s="93" t="s">
        <v>95</v>
      </c>
      <c r="G43" s="82"/>
      <c r="H43" s="82"/>
      <c r="I43" s="82"/>
      <c r="J43" s="82"/>
      <c r="K43" s="82"/>
      <c r="L43" s="82"/>
      <c r="M43" s="82"/>
      <c r="N43" s="144"/>
    </row>
    <row r="44" spans="1:27" s="117" customFormat="1" x14ac:dyDescent="0.25">
      <c r="A44" s="112"/>
      <c r="B44" s="113"/>
      <c r="C44" s="113"/>
      <c r="D44" s="93" t="s">
        <v>96</v>
      </c>
      <c r="E44" s="83"/>
      <c r="F44" s="93" t="s">
        <v>97</v>
      </c>
      <c r="G44" s="82"/>
      <c r="H44" s="82"/>
      <c r="I44" s="82"/>
      <c r="J44" s="82"/>
      <c r="K44" s="82"/>
      <c r="L44" s="82"/>
      <c r="M44" s="82"/>
      <c r="N44" s="114"/>
    </row>
    <row r="45" spans="1:27" s="117" customFormat="1" x14ac:dyDescent="0.25">
      <c r="A45" s="112"/>
      <c r="B45" s="113"/>
      <c r="C45" s="113"/>
      <c r="D45" s="93" t="s">
        <v>99</v>
      </c>
      <c r="E45" s="83"/>
      <c r="F45" s="93" t="s">
        <v>98</v>
      </c>
      <c r="G45" s="82"/>
      <c r="H45" s="82"/>
      <c r="I45" s="82"/>
      <c r="J45" s="82"/>
      <c r="K45" s="82"/>
      <c r="L45" s="82"/>
      <c r="M45" s="82"/>
      <c r="N45" s="114"/>
    </row>
    <row r="46" spans="1:27" s="117" customFormat="1" x14ac:dyDescent="0.25">
      <c r="A46" s="112"/>
      <c r="B46" s="113"/>
      <c r="C46" s="113"/>
      <c r="D46" s="93" t="s">
        <v>101</v>
      </c>
      <c r="E46" s="83"/>
      <c r="F46" s="93" t="s">
        <v>102</v>
      </c>
      <c r="G46" s="82"/>
      <c r="H46" s="82"/>
      <c r="I46" s="82"/>
      <c r="J46" s="82"/>
      <c r="K46" s="82"/>
      <c r="L46" s="82"/>
      <c r="M46" s="82"/>
      <c r="N46" s="114"/>
    </row>
    <row r="47" spans="1:27" s="117" customFormat="1" x14ac:dyDescent="0.25">
      <c r="A47" s="112"/>
      <c r="B47" s="113"/>
      <c r="C47" s="113"/>
      <c r="D47" s="93" t="s">
        <v>107</v>
      </c>
      <c r="E47" s="83"/>
      <c r="F47" s="93" t="s">
        <v>108</v>
      </c>
      <c r="G47" s="82"/>
      <c r="H47" s="82"/>
      <c r="I47" s="82"/>
      <c r="J47" s="82"/>
      <c r="K47" s="82"/>
      <c r="L47" s="82"/>
      <c r="M47" s="82"/>
      <c r="N47" s="114"/>
    </row>
    <row r="48" spans="1:27" s="117" customFormat="1" x14ac:dyDescent="0.25">
      <c r="A48" s="112"/>
      <c r="B48" s="113"/>
      <c r="C48" s="113"/>
      <c r="D48" s="93" t="s">
        <v>109</v>
      </c>
      <c r="E48" s="83"/>
      <c r="F48" s="93" t="s">
        <v>110</v>
      </c>
      <c r="G48" s="82"/>
      <c r="H48" s="82"/>
      <c r="I48" s="82"/>
      <c r="J48" s="82"/>
      <c r="K48" s="82"/>
      <c r="L48" s="82"/>
      <c r="M48" s="82"/>
      <c r="N48" s="114"/>
    </row>
    <row r="49" spans="1:14" s="117" customFormat="1" x14ac:dyDescent="0.25">
      <c r="A49" s="112"/>
      <c r="B49" s="113"/>
      <c r="C49" s="113"/>
      <c r="D49" s="93" t="s">
        <v>114</v>
      </c>
      <c r="E49" s="83"/>
      <c r="F49" s="93" t="s">
        <v>112</v>
      </c>
      <c r="G49" s="82"/>
      <c r="H49" s="82"/>
      <c r="I49" s="82"/>
      <c r="J49" s="82"/>
      <c r="K49" s="82"/>
      <c r="L49" s="82"/>
      <c r="M49" s="82"/>
      <c r="N49" s="114"/>
    </row>
    <row r="50" spans="1:14" s="117" customFormat="1" x14ac:dyDescent="0.25">
      <c r="A50" s="112"/>
      <c r="B50" s="113"/>
      <c r="C50" s="113"/>
      <c r="D50" s="93" t="s">
        <v>87</v>
      </c>
      <c r="E50" s="83"/>
      <c r="F50" s="93" t="s">
        <v>115</v>
      </c>
      <c r="G50" s="82"/>
      <c r="H50" s="82"/>
      <c r="I50" s="82"/>
      <c r="J50" s="82"/>
      <c r="K50" s="82"/>
      <c r="L50" s="82"/>
      <c r="M50" s="82"/>
      <c r="N50" s="114"/>
    </row>
    <row r="51" spans="1:14" s="111" customFormat="1" ht="21" customHeight="1" x14ac:dyDescent="0.25">
      <c r="A51" s="75"/>
      <c r="B51" s="74"/>
      <c r="C51" s="72"/>
      <c r="D51" s="69"/>
      <c r="E51" s="73"/>
      <c r="F51" s="70"/>
      <c r="G51" s="71"/>
      <c r="H51" s="71"/>
      <c r="I51" s="71"/>
      <c r="J51" s="73"/>
      <c r="K51" s="71"/>
      <c r="L51" s="71"/>
      <c r="M51" s="71"/>
      <c r="N51" s="73"/>
    </row>
    <row r="52" spans="1:14" s="117" customFormat="1" x14ac:dyDescent="0.25">
      <c r="A52" s="112" t="s">
        <v>126</v>
      </c>
      <c r="B52" s="113" t="s">
        <v>122</v>
      </c>
      <c r="C52" s="119" t="s">
        <v>89</v>
      </c>
      <c r="D52" s="93" t="s">
        <v>119</v>
      </c>
      <c r="E52" s="83"/>
      <c r="F52" s="93" t="s">
        <v>120</v>
      </c>
      <c r="G52" s="82"/>
      <c r="H52" s="82"/>
      <c r="I52" s="82"/>
      <c r="J52" s="82"/>
      <c r="K52" s="82"/>
      <c r="L52" s="82"/>
      <c r="M52" s="82"/>
      <c r="N52" s="114"/>
    </row>
    <row r="53" spans="1:14" s="117" customFormat="1" x14ac:dyDescent="0.25">
      <c r="A53" s="112"/>
      <c r="B53" s="113"/>
      <c r="C53" s="113"/>
      <c r="D53" s="93" t="s">
        <v>107</v>
      </c>
      <c r="E53" s="83"/>
      <c r="F53" s="93" t="s">
        <v>108</v>
      </c>
      <c r="G53" s="82"/>
      <c r="H53" s="82"/>
      <c r="I53" s="82"/>
      <c r="J53" s="82"/>
      <c r="K53" s="82"/>
      <c r="L53" s="82"/>
      <c r="M53" s="82"/>
      <c r="N53" s="114"/>
    </row>
    <row r="54" spans="1:14" s="117" customFormat="1" x14ac:dyDescent="0.25">
      <c r="A54" s="118"/>
      <c r="B54" s="116"/>
      <c r="C54" s="116"/>
      <c r="D54" s="93" t="s">
        <v>100</v>
      </c>
      <c r="E54" s="100"/>
      <c r="F54" s="93" t="s">
        <v>121</v>
      </c>
      <c r="G54" s="84"/>
      <c r="H54" s="84"/>
      <c r="I54" s="84"/>
      <c r="J54" s="84"/>
      <c r="K54" s="84"/>
      <c r="L54" s="84"/>
      <c r="M54" s="84"/>
      <c r="N54" s="115"/>
    </row>
  </sheetData>
  <mergeCells count="18">
    <mergeCell ref="A41:A43"/>
    <mergeCell ref="A29:A36"/>
    <mergeCell ref="B29:B36"/>
    <mergeCell ref="C29:C36"/>
    <mergeCell ref="N29:N31"/>
    <mergeCell ref="B41:B43"/>
    <mergeCell ref="C41:C43"/>
    <mergeCell ref="N41:N43"/>
    <mergeCell ref="A16:N16"/>
    <mergeCell ref="N18:N20"/>
    <mergeCell ref="A18:A24"/>
    <mergeCell ref="B18:B24"/>
    <mergeCell ref="C18:C24"/>
    <mergeCell ref="A1:L1"/>
    <mergeCell ref="A2:L2"/>
    <mergeCell ref="K6:L6"/>
    <mergeCell ref="A4:L4"/>
    <mergeCell ref="G6:I6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topLeftCell="A7"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35"/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37" t="s">
        <v>80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40" t="s">
        <v>81</v>
      </c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53" t="s">
        <v>7</v>
      </c>
      <c r="H6" s="154"/>
      <c r="I6" s="7"/>
      <c r="J6" s="153" t="s">
        <v>8</v>
      </c>
      <c r="K6" s="154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9</v>
      </c>
      <c r="B7" s="4"/>
      <c r="C7" s="3"/>
      <c r="D7" s="7"/>
      <c r="E7" s="7"/>
      <c r="F7" s="7"/>
      <c r="G7" s="11" t="s">
        <v>10</v>
      </c>
      <c r="H7" s="12"/>
      <c r="I7" s="7"/>
      <c r="J7" s="11" t="s">
        <v>11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12</v>
      </c>
      <c r="B8" s="9"/>
      <c r="C8" s="10"/>
      <c r="D8" s="7"/>
      <c r="E8" s="7"/>
      <c r="F8" s="7"/>
      <c r="G8" s="11" t="s">
        <v>13</v>
      </c>
      <c r="H8" s="13"/>
      <c r="I8" s="7"/>
      <c r="J8" s="11" t="s">
        <v>13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14</v>
      </c>
      <c r="B9" s="9"/>
      <c r="C9" s="10"/>
      <c r="D9" s="7"/>
      <c r="E9" s="7"/>
      <c r="F9" s="7"/>
      <c r="G9" s="11" t="s">
        <v>15</v>
      </c>
      <c r="H9" s="14"/>
      <c r="I9" s="7"/>
      <c r="J9" s="11" t="s">
        <v>15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11</v>
      </c>
      <c r="H10" s="15"/>
      <c r="I10" s="7"/>
      <c r="J10" s="11" t="s">
        <v>11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16</v>
      </c>
      <c r="H11" s="17">
        <f t="array" ref="H11">(COUNTIF(G16:G27,"Not Applicable"))</f>
        <v>0</v>
      </c>
      <c r="I11" s="7"/>
      <c r="J11" s="16" t="s">
        <v>16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17</v>
      </c>
      <c r="H12" s="18">
        <f>SUM(H7:H11)</f>
        <v>0</v>
      </c>
      <c r="I12" s="7"/>
      <c r="J12" s="11" t="s">
        <v>17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18</v>
      </c>
      <c r="B14" s="19" t="s">
        <v>19</v>
      </c>
      <c r="C14" s="19" t="s">
        <v>20</v>
      </c>
      <c r="D14" s="19" t="s">
        <v>21</v>
      </c>
      <c r="E14" s="19" t="s">
        <v>22</v>
      </c>
      <c r="F14" s="19" t="s">
        <v>23</v>
      </c>
      <c r="G14" s="19" t="s">
        <v>24</v>
      </c>
      <c r="H14" s="19" t="s">
        <v>25</v>
      </c>
      <c r="I14" s="19" t="s">
        <v>26</v>
      </c>
      <c r="J14" s="19" t="s">
        <v>27</v>
      </c>
      <c r="K14" s="19" t="s">
        <v>28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50" t="s">
        <v>6</v>
      </c>
      <c r="B15" s="151"/>
      <c r="C15" s="151"/>
      <c r="D15" s="151"/>
      <c r="E15" s="151"/>
      <c r="F15" s="151"/>
      <c r="G15" s="151"/>
      <c r="H15" s="151"/>
      <c r="I15" s="151"/>
      <c r="J15" s="151"/>
      <c r="K15" s="152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1" t="s">
        <v>50</v>
      </c>
      <c r="B16" s="32"/>
      <c r="C16" s="32"/>
      <c r="D16" s="33"/>
      <c r="E16" s="33"/>
      <c r="F16" s="33"/>
      <c r="G16" s="67" t="s">
        <v>11</v>
      </c>
      <c r="H16" s="28" t="s">
        <v>11</v>
      </c>
      <c r="I16" s="37"/>
      <c r="J16" s="37" t="s">
        <v>29</v>
      </c>
      <c r="K16" s="37" t="s">
        <v>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1" t="s">
        <v>51</v>
      </c>
      <c r="B17" s="34"/>
      <c r="C17" s="33"/>
      <c r="D17" s="33"/>
      <c r="E17" s="33"/>
      <c r="F17" s="33"/>
      <c r="G17" s="67" t="s">
        <v>11</v>
      </c>
      <c r="H17" s="28" t="s">
        <v>11</v>
      </c>
      <c r="I17" s="37"/>
      <c r="J17" s="37" t="s">
        <v>31</v>
      </c>
      <c r="K17" s="37" t="s">
        <v>32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1" t="s">
        <v>52</v>
      </c>
      <c r="B18" s="34"/>
      <c r="C18" s="35"/>
      <c r="D18" s="33"/>
      <c r="E18" s="33"/>
      <c r="F18" s="33"/>
      <c r="G18" s="67" t="s">
        <v>11</v>
      </c>
      <c r="H18" s="28" t="s">
        <v>11</v>
      </c>
      <c r="I18" s="37"/>
      <c r="J18" s="37" t="s">
        <v>29</v>
      </c>
      <c r="K18" s="37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1" t="s">
        <v>53</v>
      </c>
      <c r="B19" s="36"/>
      <c r="C19" s="36"/>
      <c r="D19" s="33"/>
      <c r="E19" s="33"/>
      <c r="F19" s="33"/>
      <c r="G19" s="28" t="s">
        <v>11</v>
      </c>
      <c r="H19" s="28" t="s">
        <v>11</v>
      </c>
      <c r="I19" s="38"/>
      <c r="J19" s="37" t="s">
        <v>29</v>
      </c>
      <c r="K19" s="37" t="s">
        <v>30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1" t="s">
        <v>54</v>
      </c>
      <c r="B20" s="34"/>
      <c r="C20" s="35"/>
      <c r="D20" s="33"/>
      <c r="E20" s="33"/>
      <c r="F20" s="33"/>
      <c r="G20" s="28" t="s">
        <v>11</v>
      </c>
      <c r="H20" s="28" t="s">
        <v>11</v>
      </c>
      <c r="I20" s="37"/>
      <c r="J20" s="37" t="s">
        <v>29</v>
      </c>
      <c r="K20" s="37" t="s">
        <v>30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1" t="s">
        <v>55</v>
      </c>
      <c r="B21" s="36"/>
      <c r="C21" s="36"/>
      <c r="D21" s="33"/>
      <c r="E21" s="33"/>
      <c r="F21" s="33"/>
      <c r="G21" s="28" t="s">
        <v>11</v>
      </c>
      <c r="H21" s="28" t="s">
        <v>11</v>
      </c>
      <c r="I21" s="38"/>
      <c r="J21" s="37" t="s">
        <v>29</v>
      </c>
      <c r="K21" s="37" t="s">
        <v>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1" t="s">
        <v>56</v>
      </c>
      <c r="B22" s="34"/>
      <c r="C22" s="35"/>
      <c r="D22" s="33"/>
      <c r="E22" s="33"/>
      <c r="F22" s="33"/>
      <c r="G22" s="28" t="s">
        <v>11</v>
      </c>
      <c r="H22" s="28" t="s">
        <v>11</v>
      </c>
      <c r="I22" s="37"/>
      <c r="J22" s="37" t="s">
        <v>33</v>
      </c>
      <c r="K22" s="37" t="s">
        <v>34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1" t="s">
        <v>57</v>
      </c>
      <c r="B23" s="36"/>
      <c r="C23" s="36"/>
      <c r="D23" s="33"/>
      <c r="E23" s="33"/>
      <c r="F23" s="33"/>
      <c r="G23" s="28" t="s">
        <v>11</v>
      </c>
      <c r="H23" s="28" t="s">
        <v>11</v>
      </c>
      <c r="I23" s="38"/>
      <c r="J23" s="37" t="s">
        <v>33</v>
      </c>
      <c r="K23" s="37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1" t="s">
        <v>58</v>
      </c>
      <c r="B24" s="34"/>
      <c r="C24" s="35"/>
      <c r="D24" s="33"/>
      <c r="E24" s="33"/>
      <c r="F24" s="33"/>
      <c r="G24" s="28" t="s">
        <v>11</v>
      </c>
      <c r="H24" s="28" t="s">
        <v>11</v>
      </c>
      <c r="I24" s="37"/>
      <c r="J24" s="37" t="s">
        <v>33</v>
      </c>
      <c r="K24" s="37" t="s">
        <v>34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1" t="s">
        <v>59</v>
      </c>
      <c r="B25" s="36"/>
      <c r="C25" s="36"/>
      <c r="D25" s="33"/>
      <c r="E25" s="33"/>
      <c r="F25" s="33"/>
      <c r="G25" s="28" t="s">
        <v>11</v>
      </c>
      <c r="H25" s="28" t="s">
        <v>11</v>
      </c>
      <c r="I25" s="38"/>
      <c r="J25" s="37" t="s">
        <v>33</v>
      </c>
      <c r="K25" s="37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1" t="s">
        <v>60</v>
      </c>
      <c r="B26" s="34"/>
      <c r="C26" s="35"/>
      <c r="D26" s="33"/>
      <c r="E26" s="33"/>
      <c r="F26" s="33"/>
      <c r="G26" s="28" t="s">
        <v>11</v>
      </c>
      <c r="H26" s="28" t="s">
        <v>11</v>
      </c>
      <c r="I26" s="37"/>
      <c r="J26" s="37" t="s">
        <v>33</v>
      </c>
      <c r="K26" s="37" t="s">
        <v>34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1" t="s">
        <v>61</v>
      </c>
      <c r="B27" s="36"/>
      <c r="C27" s="36"/>
      <c r="D27" s="33"/>
      <c r="E27" s="33"/>
      <c r="F27" s="33"/>
      <c r="G27" s="28" t="s">
        <v>11</v>
      </c>
      <c r="H27" s="28" t="s">
        <v>11</v>
      </c>
      <c r="I27" s="38"/>
      <c r="J27" s="37" t="s">
        <v>33</v>
      </c>
      <c r="K27" s="37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26" sqref="B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35"/>
      <c r="B1" s="136"/>
      <c r="C1" s="136"/>
      <c r="D1" s="136"/>
      <c r="E1" s="136"/>
      <c r="F1" s="136"/>
      <c r="G1" s="136"/>
      <c r="H1" s="13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37" t="s">
        <v>80</v>
      </c>
      <c r="B2" s="136"/>
      <c r="C2" s="136"/>
      <c r="D2" s="136"/>
      <c r="E2" s="136"/>
      <c r="F2" s="136"/>
      <c r="G2" s="136"/>
      <c r="H2" s="13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40" t="s">
        <v>81</v>
      </c>
      <c r="B4" s="136"/>
      <c r="C4" s="136"/>
      <c r="D4" s="136"/>
      <c r="E4" s="136"/>
      <c r="F4" s="136"/>
      <c r="G4" s="136"/>
      <c r="H4" s="136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55" t="s">
        <v>35</v>
      </c>
      <c r="B6" s="154"/>
      <c r="C6" s="156"/>
      <c r="D6" s="5"/>
      <c r="H6" s="5"/>
    </row>
    <row r="7" spans="1:26" ht="13.5" customHeight="1" x14ac:dyDescent="0.25">
      <c r="A7" s="155" t="s">
        <v>36</v>
      </c>
      <c r="B7" s="154"/>
      <c r="C7" s="156"/>
      <c r="D7" s="20"/>
      <c r="H7" s="5"/>
    </row>
    <row r="8" spans="1:26" outlineLevel="1" x14ac:dyDescent="0.25">
      <c r="A8" s="21" t="s">
        <v>37</v>
      </c>
      <c r="B8" s="21" t="s">
        <v>38</v>
      </c>
      <c r="C8" s="21" t="s">
        <v>39</v>
      </c>
      <c r="D8" s="5"/>
      <c r="H8" s="5"/>
    </row>
    <row r="9" spans="1:26" outlineLevel="1" x14ac:dyDescent="0.25">
      <c r="A9" s="22">
        <v>1</v>
      </c>
      <c r="B9" s="6"/>
      <c r="C9" s="23" t="s">
        <v>11</v>
      </c>
      <c r="D9" s="20"/>
      <c r="E9" s="157"/>
      <c r="F9" s="158"/>
      <c r="G9" s="158"/>
      <c r="H9" s="158"/>
    </row>
    <row r="10" spans="1:26" outlineLevel="1" x14ac:dyDescent="0.25">
      <c r="A10" s="22">
        <v>2</v>
      </c>
      <c r="B10" s="6"/>
      <c r="C10" s="23" t="s">
        <v>11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11</v>
      </c>
      <c r="D11" s="1"/>
      <c r="E11" s="1"/>
      <c r="F11" s="1"/>
      <c r="G11" s="1"/>
      <c r="H11" s="1"/>
    </row>
    <row r="12" spans="1:26" ht="15" customHeight="1" collapsed="1" x14ac:dyDescent="0.25">
      <c r="A12" s="155" t="s">
        <v>40</v>
      </c>
      <c r="B12" s="154"/>
      <c r="C12" s="156"/>
      <c r="D12" s="5"/>
      <c r="H12" s="5"/>
    </row>
    <row r="13" spans="1:26" hidden="1" outlineLevel="1" x14ac:dyDescent="0.25">
      <c r="A13" s="21" t="s">
        <v>37</v>
      </c>
      <c r="B13" s="21" t="s">
        <v>38</v>
      </c>
      <c r="C13" s="21" t="s">
        <v>39</v>
      </c>
      <c r="D13" s="5"/>
      <c r="H13" s="5"/>
    </row>
    <row r="14" spans="1:26" hidden="1" outlineLevel="1" x14ac:dyDescent="0.25">
      <c r="A14" s="22">
        <v>1</v>
      </c>
      <c r="B14" s="6"/>
      <c r="C14" s="23" t="s">
        <v>11</v>
      </c>
      <c r="D14" s="5"/>
      <c r="H14" s="5"/>
    </row>
    <row r="15" spans="1:26" hidden="1" outlineLevel="1" x14ac:dyDescent="0.25">
      <c r="A15" s="22">
        <v>2</v>
      </c>
      <c r="B15" s="6"/>
      <c r="C15" s="23" t="s">
        <v>11</v>
      </c>
      <c r="D15" s="5"/>
      <c r="H15" s="5"/>
    </row>
    <row r="16" spans="1:26" hidden="1" outlineLevel="1" x14ac:dyDescent="0.25">
      <c r="A16" s="22">
        <v>3</v>
      </c>
      <c r="B16" s="6"/>
      <c r="C16" s="23" t="s">
        <v>11</v>
      </c>
      <c r="D16" s="5"/>
      <c r="H16" s="5"/>
    </row>
    <row r="17" spans="1:26" ht="15" customHeight="1" collapsed="1" x14ac:dyDescent="0.25">
      <c r="A17" s="155" t="s">
        <v>41</v>
      </c>
      <c r="B17" s="154"/>
      <c r="C17" s="156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37</v>
      </c>
      <c r="B18" s="21" t="s">
        <v>38</v>
      </c>
      <c r="C18" s="2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11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11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35"/>
      <c r="B1" s="136"/>
      <c r="C1" s="136"/>
      <c r="D1" s="136"/>
      <c r="E1" s="136"/>
      <c r="F1" s="136"/>
      <c r="G1" s="136"/>
      <c r="H1" s="136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37" t="s">
        <v>80</v>
      </c>
      <c r="B2" s="136"/>
      <c r="C2" s="136"/>
      <c r="D2" s="136"/>
      <c r="E2" s="136"/>
      <c r="F2" s="136"/>
      <c r="G2" s="136"/>
      <c r="H2" s="13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40" t="s">
        <v>81</v>
      </c>
      <c r="B4" s="136"/>
      <c r="C4" s="136"/>
      <c r="D4" s="136"/>
      <c r="E4" s="136"/>
      <c r="F4" s="136"/>
      <c r="G4" s="136"/>
      <c r="H4" s="13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0" t="s">
        <v>45</v>
      </c>
      <c r="B6" s="30" t="s">
        <v>46</v>
      </c>
      <c r="C6" s="30" t="s">
        <v>47</v>
      </c>
      <c r="D6" s="30" t="s">
        <v>48</v>
      </c>
      <c r="E6" s="30" t="s">
        <v>49</v>
      </c>
      <c r="F6" s="26"/>
      <c r="G6" s="26"/>
      <c r="H6" s="26"/>
      <c r="I6" s="26"/>
    </row>
    <row r="7" spans="1:26" x14ac:dyDescent="0.25">
      <c r="A7" s="29"/>
      <c r="B7" s="29"/>
      <c r="C7" s="29"/>
      <c r="D7" s="29"/>
      <c r="E7" s="29"/>
    </row>
    <row r="8" spans="1:26" x14ac:dyDescent="0.25">
      <c r="A8" s="29"/>
      <c r="B8" s="29"/>
      <c r="C8" s="29"/>
      <c r="D8" s="29"/>
      <c r="E8" s="29"/>
    </row>
    <row r="9" spans="1:26" x14ac:dyDescent="0.25">
      <c r="A9" s="29"/>
      <c r="B9" s="29"/>
      <c r="C9" s="29"/>
      <c r="D9" s="29"/>
      <c r="E9" s="29"/>
    </row>
    <row r="10" spans="1:26" x14ac:dyDescent="0.25">
      <c r="A10" s="29"/>
      <c r="B10" s="29"/>
      <c r="C10" s="29"/>
      <c r="D10" s="29"/>
      <c r="E10" s="29"/>
    </row>
    <row r="11" spans="1:26" x14ac:dyDescent="0.25">
      <c r="A11" s="29"/>
      <c r="B11" s="29"/>
      <c r="C11" s="29"/>
      <c r="D11" s="29"/>
      <c r="E11" s="29"/>
    </row>
    <row r="12" spans="1:26" x14ac:dyDescent="0.25">
      <c r="A12" s="29"/>
      <c r="B12" s="29"/>
      <c r="C12" s="29"/>
      <c r="D12" s="29"/>
      <c r="E12" s="29"/>
    </row>
    <row r="13" spans="1:26" x14ac:dyDescent="0.25">
      <c r="A13" s="29"/>
      <c r="B13" s="29"/>
      <c r="C13" s="29"/>
      <c r="D13" s="29"/>
      <c r="E13" s="29"/>
    </row>
    <row r="14" spans="1:26" x14ac:dyDescent="0.25">
      <c r="A14" s="29"/>
      <c r="B14" s="29"/>
      <c r="C14" s="29"/>
      <c r="D14" s="29"/>
      <c r="E14" s="29"/>
    </row>
    <row r="15" spans="1:26" x14ac:dyDescent="0.25">
      <c r="A15" s="29"/>
      <c r="B15" s="29"/>
      <c r="C15" s="29"/>
      <c r="D15" s="29"/>
      <c r="E15" s="29"/>
    </row>
    <row r="16" spans="1:26" x14ac:dyDescent="0.25">
      <c r="A16" s="29"/>
      <c r="B16" s="29"/>
      <c r="C16" s="29"/>
      <c r="D16" s="29"/>
      <c r="E16" s="29"/>
    </row>
    <row r="17" spans="1:5" x14ac:dyDescent="0.25">
      <c r="A17" s="29"/>
      <c r="B17" s="29"/>
      <c r="C17" s="29"/>
      <c r="D17" s="29"/>
      <c r="E17" s="29"/>
    </row>
    <row r="18" spans="1:5" x14ac:dyDescent="0.25">
      <c r="A18" s="29"/>
      <c r="B18" s="29"/>
      <c r="C18" s="29"/>
      <c r="D18" s="29"/>
      <c r="E18" s="29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Main test cases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2023-08-08T06:26:37Z</dcterms:modified>
</cp:coreProperties>
</file>